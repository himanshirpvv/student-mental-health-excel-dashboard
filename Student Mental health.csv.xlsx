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c1b35a4a9bd204e5/Desktop/"/>
    </mc:Choice>
  </mc:AlternateContent>
  <xr:revisionPtr revIDLastSave="0" documentId="14_{E54C128E-FE0F-468D-AB20-07816895BCB2}" xr6:coauthVersionLast="47" xr6:coauthVersionMax="47" xr10:uidLastSave="{00000000-0000-0000-0000-000000000000}"/>
  <bookViews>
    <workbookView xWindow="-108" yWindow="-108" windowWidth="23256" windowHeight="12456" xr2:uid="{8633C1FB-FC9E-46E7-B924-D3DF79083C31}"/>
  </bookViews>
  <sheets>
    <sheet name="Dashboard" sheetId="10" r:id="rId1"/>
    <sheet name="Insights" sheetId="12" r:id="rId2"/>
    <sheet name="Cleaning Log" sheetId="11" r:id="rId3"/>
    <sheet name="Clean Data" sheetId="3" r:id="rId4"/>
    <sheet name="Raw Data" sheetId="1" r:id="rId5"/>
    <sheet name="pivot1" sheetId="5" r:id="rId6"/>
    <sheet name="pivot2" sheetId="6" r:id="rId7"/>
    <sheet name="pivot3" sheetId="7" r:id="rId8"/>
    <sheet name="pivot4" sheetId="9" r:id="rId9"/>
  </sheets>
  <definedNames>
    <definedName name="_xlnm._FilterDatabase" localSheetId="3" hidden="1">'Clean Data'!$A$1:$M$102</definedName>
    <definedName name="_xlnm._FilterDatabase" localSheetId="4" hidden="1">'Raw Data'!$A$1:$K$102</definedName>
    <definedName name="Slicer_Age_group">#N/A</definedName>
    <definedName name="Slicer_Course">#N/A</definedName>
    <definedName name="Slicer_Gender">#N/A</definedName>
    <definedName name="Slicer_Year">#N/A</definedName>
  </definedNames>
  <calcPr calcId="0"/>
  <pivotCaches>
    <pivotCache cacheId="42"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3" l="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alcChain>
</file>

<file path=xl/sharedStrings.xml><?xml version="1.0" encoding="utf-8"?>
<sst xmlns="http://schemas.openxmlformats.org/spreadsheetml/2006/main" count="1910" uniqueCount="129">
  <si>
    <t>Timestamp</t>
  </si>
  <si>
    <t>Choose your gender</t>
  </si>
  <si>
    <t>Age</t>
  </si>
  <si>
    <t>What is your course?</t>
  </si>
  <si>
    <t>Your current year of Study</t>
  </si>
  <si>
    <t>What is your CGPA?</t>
  </si>
  <si>
    <t>Marital status</t>
  </si>
  <si>
    <t>Do you have Depression?</t>
  </si>
  <si>
    <t>Do you have Anxiety?</t>
  </si>
  <si>
    <t>Do you have Panic attack?</t>
  </si>
  <si>
    <t>Did you seek any specialist for a treatment?</t>
  </si>
  <si>
    <t>Female</t>
  </si>
  <si>
    <t>Engineering</t>
  </si>
  <si>
    <t>year 1</t>
  </si>
  <si>
    <t>3.00 - 3.49</t>
  </si>
  <si>
    <t>No</t>
  </si>
  <si>
    <t>Yes</t>
  </si>
  <si>
    <t>Male</t>
  </si>
  <si>
    <t>Islamic education</t>
  </si>
  <si>
    <t>year 2</t>
  </si>
  <si>
    <t>BIT</t>
  </si>
  <si>
    <t>Year 1</t>
  </si>
  <si>
    <t>Laws</t>
  </si>
  <si>
    <t>year 3</t>
  </si>
  <si>
    <t>Mathemathics</t>
  </si>
  <si>
    <t>year 4</t>
  </si>
  <si>
    <t>Year 2</t>
  </si>
  <si>
    <t>3.50 - 4.00</t>
  </si>
  <si>
    <t>Pendidikan islam</t>
  </si>
  <si>
    <t xml:space="preserve">3.50 - 4.00 </t>
  </si>
  <si>
    <t>BCS</t>
  </si>
  <si>
    <t>Human Resources</t>
  </si>
  <si>
    <t>2.50 - 2.99</t>
  </si>
  <si>
    <t>Irkhs</t>
  </si>
  <si>
    <t>Psychology</t>
  </si>
  <si>
    <t>Year 3</t>
  </si>
  <si>
    <t>KENMS</t>
  </si>
  <si>
    <t xml:space="preserve">Accounting </t>
  </si>
  <si>
    <t>ENM</t>
  </si>
  <si>
    <t>Marine science</t>
  </si>
  <si>
    <t>KOE</t>
  </si>
  <si>
    <t>Banking Studies</t>
  </si>
  <si>
    <t>Business Administration</t>
  </si>
  <si>
    <t>2.00 - 2.49</t>
  </si>
  <si>
    <t>Law</t>
  </si>
  <si>
    <t>KIRKHS</t>
  </si>
  <si>
    <t xml:space="preserve">Usuluddin </t>
  </si>
  <si>
    <t>0 - 1.99</t>
  </si>
  <si>
    <t>TAASL</t>
  </si>
  <si>
    <t>Engine</t>
  </si>
  <si>
    <t>ALA</t>
  </si>
  <si>
    <t>Biomedical science</t>
  </si>
  <si>
    <t>koe</t>
  </si>
  <si>
    <t>Kirkhs</t>
  </si>
  <si>
    <t>BENL</t>
  </si>
  <si>
    <t>Benl</t>
  </si>
  <si>
    <t>IT</t>
  </si>
  <si>
    <t>CTS</t>
  </si>
  <si>
    <t>engin</t>
  </si>
  <si>
    <t>Econs</t>
  </si>
  <si>
    <t>MHSC</t>
  </si>
  <si>
    <t>Malcom</t>
  </si>
  <si>
    <t>Kop</t>
  </si>
  <si>
    <t xml:space="preserve">Human Sciences </t>
  </si>
  <si>
    <t>Biotechnology</t>
  </si>
  <si>
    <t xml:space="preserve">Communication </t>
  </si>
  <si>
    <t>Diploma Nursing</t>
  </si>
  <si>
    <t xml:space="preserve">Pendidikan Islam </t>
  </si>
  <si>
    <t>Radiography</t>
  </si>
  <si>
    <t>psychology</t>
  </si>
  <si>
    <t xml:space="preserve">Fiqh fatwa </t>
  </si>
  <si>
    <t>DIPLOMA TESL</t>
  </si>
  <si>
    <t>Koe</t>
  </si>
  <si>
    <t>Fiqh</t>
  </si>
  <si>
    <t>Islamic Education</t>
  </si>
  <si>
    <t xml:space="preserve">Nursing </t>
  </si>
  <si>
    <t>Pendidikan Islam</t>
  </si>
  <si>
    <t>Gender</t>
  </si>
  <si>
    <t>Year</t>
  </si>
  <si>
    <t>CGPA_Range</t>
  </si>
  <si>
    <t>Marital_status</t>
  </si>
  <si>
    <t>Depression</t>
  </si>
  <si>
    <t>Anxiety</t>
  </si>
  <si>
    <t>Panic_attack</t>
  </si>
  <si>
    <t>Sought_treatment</t>
  </si>
  <si>
    <t>Year 4</t>
  </si>
  <si>
    <t>Course</t>
  </si>
  <si>
    <t>Any_Issue</t>
  </si>
  <si>
    <t>Age_group</t>
  </si>
  <si>
    <t>Row Labels</t>
  </si>
  <si>
    <t>Grand Total</t>
  </si>
  <si>
    <t>Count of Any_Issue2</t>
  </si>
  <si>
    <t>Column Labels</t>
  </si>
  <si>
    <t>Count of Depression</t>
  </si>
  <si>
    <t>Anxiety%</t>
  </si>
  <si>
    <t>CGPA_Trim</t>
  </si>
  <si>
    <t>Count of Sought_treatment</t>
  </si>
  <si>
    <t>Student Mental Health Survey: Excel Dashboard</t>
  </si>
  <si>
    <t>Source: Kaggle | 101 students | Built in Excel</t>
  </si>
  <si>
    <t>Step</t>
  </si>
  <si>
    <t>Issue Found</t>
  </si>
  <si>
    <t>Action Taken</t>
  </si>
  <si>
    <t>Risk of damaging the original data</t>
  </si>
  <si>
    <t>Kept an untouched copy in the Raw Data sheet and did all work in Clean Data</t>
  </si>
  <si>
    <t>Long, hard-to-use column headers</t>
  </si>
  <si>
    <t>Renamed all 11 columns to short names (e.g. Gender, Year, CGPA_Range)</t>
  </si>
  <si>
    <t>1 missing value in Age</t>
  </si>
  <si>
    <t>Filled with the average age, rounded to a whole number (write your number here, e.g. 20)</t>
  </si>
  <si>
    <t>Possible duplicate rows</t>
  </si>
  <si>
    <t>Checked with Remove Duplicates; none found</t>
  </si>
  <si>
    <t>Inconsistent text in Year (e.g. "year 1" vs "Year 1")</t>
  </si>
  <si>
    <t>Standardized to Year 1 to Year 4</t>
  </si>
  <si>
    <t>Course had spelling variants (e.g. "engin", "Engine") and extra spaces</t>
  </si>
  <si>
    <t>Removed spaces with TRIM and merged variants using a mapping table and VLOOKUP</t>
  </si>
  <si>
    <t>CGPA_Range had a trailing space, creating a duplicate "3.50 - 4.00" category</t>
  </si>
  <si>
    <t>Removed the space with TRIM and pasted as values</t>
  </si>
  <si>
    <t>Needed summary fields for analysis</t>
  </si>
  <si>
    <t>Added Any_Issue (Yes if depression, anxiety or panic attack reported) and Age_Group using IF formulas</t>
  </si>
  <si>
    <t>Data needed to feed pivot tables</t>
  </si>
  <si>
    <t>Converted the range to an Excel Table named StudentData</t>
  </si>
  <si>
    <t>63.4% of students (64 of 101) reported at least one of depression, anxiety, or panic attack.</t>
  </si>
  <si>
    <t>Depression was highest among Year 3 students (41.7%, 10 of 24) and lowest among Year 4 (12.5%, 1 of 8). Year 4 has only 8 students, so that figure is unreliable.</t>
  </si>
  <si>
    <t>Overall, 34.7% of students (35 of 101) reported depression, and Years 1 to 3 were close to that average.</t>
  </si>
  <si>
    <t>Anxiety rates were similar for CGPA 3.00-3.49 (34.9%, 15 of 43) and 3.50-4.00 (37.5%, 18 of 48). Only 10 students had a CGPA below 3.00, so no reliable conclusion can be drawn for those groups.</t>
  </si>
  <si>
    <t>Only 6 of the 64 students who reported an issue (9.4%) sought specialist treatment, while 58 (90.6%) did not.</t>
  </si>
  <si>
    <r>
      <t>Recommendation:</t>
    </r>
    <r>
      <rPr>
        <sz val="11"/>
        <color theme="1"/>
        <rFont val="Calibri"/>
        <family val="2"/>
        <scheme val="minor"/>
      </rPr>
      <t xml:space="preserve"> colleges should focus on awareness and easier access to counselling, since most students with a reported issue are not getting professional help.</t>
    </r>
  </si>
  <si>
    <r>
      <t>Limitations:</t>
    </r>
    <r>
      <rPr>
        <sz val="11"/>
        <color theme="1"/>
        <rFont val="Calibri"/>
        <family val="2"/>
        <scheme val="minor"/>
      </rPr>
      <t xml:space="preserve"> the sample is small (101 students), and the survey shows associations only. It doesn't say why students did or didn't seek help. Findings are indicative, not conclusive.</t>
    </r>
  </si>
  <si>
    <t>#</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</si>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</sst>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30"/>
      <color theme="4" tint="-0.249977111117893"/>
      <name val="Calibri"/>
      <family val="2"/>
      <scheme val="minor"/>
    </font>
    <font>
      <sz val="11"/>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22" fontId="0" fillId="0" borderId="0" xfId="0" applyNumberFormat="1"/>
    <xf numFmtId="0" fontId="16"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9" fillId="33" borderId="0" xfId="0" applyFont="1" applyFill="1"/>
    <xf numFmtId="0" fontId="20" fillId="33" borderId="0" xfId="0" applyFont="1" applyFill="1"/>
    <xf numFmtId="0" fontId="20" fillId="33" borderId="10" xfId="0" applyFont="1" applyFill="1" applyBorder="1"/>
    <xf numFmtId="0" fontId="20" fillId="33" borderId="11" xfId="0" applyFont="1" applyFill="1" applyBorder="1"/>
    <xf numFmtId="0" fontId="20" fillId="33" borderId="12" xfId="0" applyFont="1" applyFill="1" applyBorder="1"/>
    <xf numFmtId="0" fontId="20" fillId="33" borderId="13" xfId="0" applyFont="1" applyFill="1" applyBorder="1"/>
    <xf numFmtId="0" fontId="20" fillId="33" borderId="14" xfId="0" applyFont="1" applyFill="1" applyBorder="1"/>
    <xf numFmtId="0" fontId="20" fillId="33" borderId="15" xfId="0" applyFont="1" applyFill="1" applyBorder="1"/>
    <xf numFmtId="0" fontId="20" fillId="33" borderId="16" xfId="0" applyFont="1" applyFill="1" applyBorder="1"/>
    <xf numFmtId="0" fontId="20" fillId="33" borderId="17" xfId="0" applyFont="1" applyFill="1" applyBorder="1"/>
    <xf numFmtId="0" fontId="20" fillId="33" borderId="18" xfId="0" applyFont="1" applyFill="1" applyBorder="1"/>
    <xf numFmtId="0" fontId="0" fillId="33" borderId="0" xfId="0" applyFill="1"/>
    <xf numFmtId="0" fontId="18" fillId="33" borderId="0" xfId="0" applyFont="1" applyFill="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ill>
        <patternFill patternType="solid">
          <bgColor theme="3"/>
        </patternFill>
      </fill>
    </dxf>
    <dxf>
      <fill>
        <patternFill>
          <bgColor theme="9" tint="0.59999389629810485"/>
        </patternFill>
      </fill>
    </dxf>
    <dxf>
      <font>
        <color theme="4" tint="-0.249977111117893"/>
      </font>
    </dxf>
    <dxf>
      <fill>
        <patternFill>
          <bgColor theme="3" tint="0.79998168889431442"/>
        </patternFill>
      </fill>
    </dxf>
    <dxf>
      <numFmt numFmtId="0" formatCode="General"/>
    </dxf>
    <dxf>
      <font>
        <b/>
        <i val="0"/>
        <strike val="0"/>
        <condense val="0"/>
        <extend val="0"/>
        <outline val="0"/>
        <shadow val="0"/>
        <u val="none"/>
        <vertAlign val="baseline"/>
        <sz val="11"/>
        <color theme="1"/>
        <name val="Calibri"/>
        <family val="2"/>
        <scheme val="minor"/>
      </font>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health.csv.xlsx]pivot1!PivotTable1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63.4% of Students Reported at Least One Issue</a:t>
            </a:r>
            <a:endParaRPr lang="en-IN"/>
          </a:p>
        </c:rich>
      </c:tx>
      <c:layout>
        <c:manualLayout>
          <c:xMode val="edge"/>
          <c:yMode val="edge"/>
          <c:x val="0.1432707786526684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8F-47EE-8118-F05DEEBCF8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8F-47EE-8118-F05DEEBCF8F8}"/>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pivot1!$A$4:$A$6</c:f>
              <c:strCache>
                <c:ptCount val="2"/>
                <c:pt idx="0">
                  <c:v>No</c:v>
                </c:pt>
                <c:pt idx="1">
                  <c:v>Yes</c:v>
                </c:pt>
              </c:strCache>
            </c:strRef>
          </c:cat>
          <c:val>
            <c:numRef>
              <c:f>pivot1!$B$4:$B$6</c:f>
              <c:numCache>
                <c:formatCode>General</c:formatCode>
                <c:ptCount val="2"/>
                <c:pt idx="0">
                  <c:v>35</c:v>
                </c:pt>
                <c:pt idx="1">
                  <c:v>63</c:v>
                </c:pt>
              </c:numCache>
            </c:numRef>
          </c:val>
          <c:extLst>
            <c:ext xmlns:c16="http://schemas.microsoft.com/office/drawing/2014/chart" uri="{C3380CC4-5D6E-409C-BE32-E72D297353CC}">
              <c16:uniqueId val="{00000004-7F8F-47EE-8118-F05DEEBCF8F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health.csv.xlsx]pivot2!PivotTable2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Depression Rate by Year of Study</a:t>
            </a:r>
            <a:endParaRPr lang="en-IN"/>
          </a:p>
        </c:rich>
      </c:tx>
      <c:layout>
        <c:manualLayout>
          <c:xMode val="edge"/>
          <c:yMode val="edge"/>
          <c:x val="0.229423447069116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159230096237"/>
          <c:y val="0.17634259259259263"/>
          <c:w val="0.84068285214348204"/>
          <c:h val="0.72088764946048411"/>
        </c:manualLayout>
      </c:layout>
      <c:barChart>
        <c:barDir val="col"/>
        <c:grouping val="clustered"/>
        <c:varyColors val="0"/>
        <c:ser>
          <c:idx val="0"/>
          <c:order val="0"/>
          <c:tx>
            <c:strRef>
              <c:f>pivot2!$B$3:$B$4</c:f>
              <c:strCache>
                <c:ptCount val="1"/>
                <c:pt idx="0">
                  <c:v>No</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pivot2!$A$5:$A$9</c:f>
              <c:strCache>
                <c:ptCount val="4"/>
                <c:pt idx="0">
                  <c:v>Year 1</c:v>
                </c:pt>
                <c:pt idx="1">
                  <c:v>Year 2</c:v>
                </c:pt>
                <c:pt idx="2">
                  <c:v>Year 3</c:v>
                </c:pt>
                <c:pt idx="3">
                  <c:v>Year 4</c:v>
                </c:pt>
              </c:strCache>
            </c:strRef>
          </c:cat>
          <c:val>
            <c:numRef>
              <c:f>pivot2!$B$5:$B$9</c:f>
              <c:numCache>
                <c:formatCode>0.00%</c:formatCode>
                <c:ptCount val="4"/>
                <c:pt idx="0">
                  <c:v>0.68292682926829273</c:v>
                </c:pt>
                <c:pt idx="1">
                  <c:v>0.61538461538461542</c:v>
                </c:pt>
                <c:pt idx="2">
                  <c:v>0.56521739130434778</c:v>
                </c:pt>
                <c:pt idx="3">
                  <c:v>0.875</c:v>
                </c:pt>
              </c:numCache>
            </c:numRef>
          </c:val>
          <c:extLst>
            <c:ext xmlns:c16="http://schemas.microsoft.com/office/drawing/2014/chart" uri="{C3380CC4-5D6E-409C-BE32-E72D297353CC}">
              <c16:uniqueId val="{00000005-3253-4A5F-A773-F53A187CD4F0}"/>
            </c:ext>
          </c:extLst>
        </c:ser>
        <c:ser>
          <c:idx val="1"/>
          <c:order val="1"/>
          <c:tx>
            <c:strRef>
              <c:f>pivot2!$C$3:$C$4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pivot2!$A$5:$A$9</c:f>
              <c:strCache>
                <c:ptCount val="4"/>
                <c:pt idx="0">
                  <c:v>Year 1</c:v>
                </c:pt>
                <c:pt idx="1">
                  <c:v>Year 2</c:v>
                </c:pt>
                <c:pt idx="2">
                  <c:v>Year 3</c:v>
                </c:pt>
                <c:pt idx="3">
                  <c:v>Year 4</c:v>
                </c:pt>
              </c:strCache>
            </c:strRef>
          </c:cat>
          <c:val>
            <c:numRef>
              <c:f>pivot2!$C$5:$C$9</c:f>
              <c:numCache>
                <c:formatCode>0.00%</c:formatCode>
                <c:ptCount val="4"/>
                <c:pt idx="0">
                  <c:v>0.31707317073170732</c:v>
                </c:pt>
                <c:pt idx="1">
                  <c:v>0.38461538461538464</c:v>
                </c:pt>
                <c:pt idx="2">
                  <c:v>0.43478260869565216</c:v>
                </c:pt>
                <c:pt idx="3">
                  <c:v>0.125</c:v>
                </c:pt>
              </c:numCache>
            </c:numRef>
          </c:val>
          <c:extLst>
            <c:ext xmlns:c16="http://schemas.microsoft.com/office/drawing/2014/chart" uri="{C3380CC4-5D6E-409C-BE32-E72D297353CC}">
              <c16:uniqueId val="{00000009-3253-4A5F-A773-F53A187CD4F0}"/>
            </c:ext>
          </c:extLst>
        </c:ser>
        <c:dLbls>
          <c:dLblPos val="outEnd"/>
          <c:showLegendKey val="0"/>
          <c:showVal val="1"/>
          <c:showCatName val="0"/>
          <c:showSerName val="0"/>
          <c:showPercent val="0"/>
          <c:showBubbleSize val="0"/>
        </c:dLbls>
        <c:gapWidth val="219"/>
        <c:overlap val="-27"/>
        <c:axId val="895436479"/>
        <c:axId val="9960559"/>
      </c:barChart>
      <c:catAx>
        <c:axId val="895436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0559"/>
        <c:crosses val="autoZero"/>
        <c:auto val="1"/>
        <c:lblAlgn val="ctr"/>
        <c:lblOffset val="100"/>
        <c:noMultiLvlLbl val="0"/>
      </c:catAx>
      <c:valAx>
        <c:axId val="99605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health.csv.xlsx]pivot3!PivotTable3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Anxiety Rate by CGPA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pivot3!$B$3:$B$4</c:f>
              <c:strCache>
                <c:ptCount val="1"/>
                <c:pt idx="0">
                  <c:v>No</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pivot3!$A$5:$A$10</c:f>
              <c:strCache>
                <c:ptCount val="5"/>
                <c:pt idx="0">
                  <c:v>0 - 1.99</c:v>
                </c:pt>
                <c:pt idx="1">
                  <c:v>2.00 - 2.49</c:v>
                </c:pt>
                <c:pt idx="2">
                  <c:v>2.50 - 2.99</c:v>
                </c:pt>
                <c:pt idx="3">
                  <c:v>3.00 - 3.49</c:v>
                </c:pt>
                <c:pt idx="4">
                  <c:v>3.50 - 4.00</c:v>
                </c:pt>
              </c:strCache>
            </c:strRef>
          </c:cat>
          <c:val>
            <c:numRef>
              <c:f>pivot3!$B$5:$B$10</c:f>
              <c:numCache>
                <c:formatCode>0.00%</c:formatCode>
                <c:ptCount val="5"/>
                <c:pt idx="0">
                  <c:v>1</c:v>
                </c:pt>
                <c:pt idx="1">
                  <c:v>1</c:v>
                </c:pt>
                <c:pt idx="2">
                  <c:v>0.66666666666666663</c:v>
                </c:pt>
                <c:pt idx="3">
                  <c:v>0.6428571428571429</c:v>
                </c:pt>
                <c:pt idx="4">
                  <c:v>0.61702127659574468</c:v>
                </c:pt>
              </c:numCache>
            </c:numRef>
          </c:val>
          <c:extLst>
            <c:ext xmlns:c16="http://schemas.microsoft.com/office/drawing/2014/chart" uri="{C3380CC4-5D6E-409C-BE32-E72D297353CC}">
              <c16:uniqueId val="{00000006-91AB-4280-AB85-7890FBB07825}"/>
            </c:ext>
          </c:extLst>
        </c:ser>
        <c:ser>
          <c:idx val="1"/>
          <c:order val="1"/>
          <c:tx>
            <c:strRef>
              <c:f>pivot3!$C$3:$C$4</c:f>
              <c:strCache>
                <c:ptCount val="1"/>
                <c:pt idx="0">
                  <c:v>Yes</c:v>
                </c:pt>
              </c:strCache>
            </c:strRef>
          </c:tx>
          <c:spPr>
            <a:solidFill>
              <a:schemeClr val="accent2"/>
            </a:solidFill>
            <a:ln>
              <a:noFill/>
            </a:ln>
            <a:effectLst/>
          </c:spPr>
          <c:invertIfNegative val="0"/>
          <c:dLbls>
            <c:dLbl>
              <c:idx val="1"/>
              <c:layout>
                <c:manualLayout>
                  <c:x val="1.111111111111111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pivot3!$A$5:$A$10</c:f>
              <c:strCache>
                <c:ptCount val="5"/>
                <c:pt idx="0">
                  <c:v>0 - 1.99</c:v>
                </c:pt>
                <c:pt idx="1">
                  <c:v>2.00 - 2.49</c:v>
                </c:pt>
                <c:pt idx="2">
                  <c:v>2.50 - 2.99</c:v>
                </c:pt>
                <c:pt idx="3">
                  <c:v>3.00 - 3.49</c:v>
                </c:pt>
                <c:pt idx="4">
                  <c:v>3.50 - 4.00</c:v>
                </c:pt>
              </c:strCache>
            </c:strRef>
          </c:cat>
          <c:val>
            <c:numRef>
              <c:f>pivot3!$C$5:$C$10</c:f>
              <c:numCache>
                <c:formatCode>0.00%</c:formatCode>
                <c:ptCount val="5"/>
                <c:pt idx="0">
                  <c:v>0</c:v>
                </c:pt>
                <c:pt idx="1">
                  <c:v>0</c:v>
                </c:pt>
                <c:pt idx="2">
                  <c:v>0.33333333333333331</c:v>
                </c:pt>
                <c:pt idx="3">
                  <c:v>0.35714285714285715</c:v>
                </c:pt>
                <c:pt idx="4">
                  <c:v>0.38297872340425532</c:v>
                </c:pt>
              </c:numCache>
            </c:numRef>
          </c:val>
          <c:extLst>
            <c:ext xmlns:c16="http://schemas.microsoft.com/office/drawing/2014/chart" uri="{C3380CC4-5D6E-409C-BE32-E72D297353CC}">
              <c16:uniqueId val="{0000000A-91AB-4280-AB85-7890FBB07825}"/>
            </c:ext>
          </c:extLst>
        </c:ser>
        <c:dLbls>
          <c:dLblPos val="outEnd"/>
          <c:showLegendKey val="0"/>
          <c:showVal val="1"/>
          <c:showCatName val="0"/>
          <c:showSerName val="0"/>
          <c:showPercent val="0"/>
          <c:showBubbleSize val="0"/>
        </c:dLbls>
        <c:gapWidth val="219"/>
        <c:overlap val="-27"/>
        <c:axId val="895418847"/>
        <c:axId val="9993679"/>
      </c:barChart>
      <c:catAx>
        <c:axId val="89541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679"/>
        <c:crosses val="autoZero"/>
        <c:auto val="1"/>
        <c:lblAlgn val="ctr"/>
        <c:lblOffset val="100"/>
        <c:noMultiLvlLbl val="0"/>
      </c:catAx>
      <c:valAx>
        <c:axId val="9993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1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Mental health.csv.xlsx]pivot4!PivotTable6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Students With an Issue Did Not Seek Treatment</a:t>
            </a:r>
            <a:endParaRPr lang="en-IN"/>
          </a:p>
        </c:rich>
      </c:tx>
      <c:layout>
        <c:manualLayout>
          <c:xMode val="edge"/>
          <c:yMode val="edge"/>
          <c:x val="0.1620763342082239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pivot4!$B$3:$B$4</c:f>
              <c:strCache>
                <c:ptCount val="1"/>
                <c:pt idx="0">
                  <c:v>No</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pivot4!$A$5:$A$7</c:f>
              <c:strCache>
                <c:ptCount val="2"/>
                <c:pt idx="0">
                  <c:v>No</c:v>
                </c:pt>
                <c:pt idx="1">
                  <c:v>Yes</c:v>
                </c:pt>
              </c:strCache>
            </c:strRef>
          </c:cat>
          <c:val>
            <c:numRef>
              <c:f>pivot4!$B$5:$B$7</c:f>
              <c:numCache>
                <c:formatCode>0.00%</c:formatCode>
                <c:ptCount val="2"/>
                <c:pt idx="0">
                  <c:v>1</c:v>
                </c:pt>
                <c:pt idx="1">
                  <c:v>0.92063492063492058</c:v>
                </c:pt>
              </c:numCache>
            </c:numRef>
          </c:val>
          <c:extLst>
            <c:ext xmlns:c16="http://schemas.microsoft.com/office/drawing/2014/chart" uri="{C3380CC4-5D6E-409C-BE32-E72D297353CC}">
              <c16:uniqueId val="{00000000-00D9-41BB-99C3-144D3E773D79}"/>
            </c:ext>
          </c:extLst>
        </c:ser>
        <c:ser>
          <c:idx val="1"/>
          <c:order val="1"/>
          <c:tx>
            <c:strRef>
              <c:f>pivot4!$C$3:$C$4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pivot4!$A$5:$A$7</c:f>
              <c:strCache>
                <c:ptCount val="2"/>
                <c:pt idx="0">
                  <c:v>No</c:v>
                </c:pt>
                <c:pt idx="1">
                  <c:v>Yes</c:v>
                </c:pt>
              </c:strCache>
            </c:strRef>
          </c:cat>
          <c:val>
            <c:numRef>
              <c:f>pivot4!$C$5:$C$7</c:f>
              <c:numCache>
                <c:formatCode>0.00%</c:formatCode>
                <c:ptCount val="2"/>
                <c:pt idx="0">
                  <c:v>0</c:v>
                </c:pt>
                <c:pt idx="1">
                  <c:v>7.9365079365079361E-2</c:v>
                </c:pt>
              </c:numCache>
            </c:numRef>
          </c:val>
          <c:extLst>
            <c:ext xmlns:c16="http://schemas.microsoft.com/office/drawing/2014/chart" uri="{C3380CC4-5D6E-409C-BE32-E72D297353CC}">
              <c16:uniqueId val="{0000000B-00D9-41BB-99C3-144D3E773D79}"/>
            </c:ext>
          </c:extLst>
        </c:ser>
        <c:dLbls>
          <c:dLblPos val="outEnd"/>
          <c:showLegendKey val="0"/>
          <c:showVal val="1"/>
          <c:showCatName val="0"/>
          <c:showSerName val="0"/>
          <c:showPercent val="0"/>
          <c:showBubbleSize val="0"/>
        </c:dLbls>
        <c:gapWidth val="219"/>
        <c:overlap val="-27"/>
        <c:axId val="895403999"/>
        <c:axId val="203984335"/>
      </c:barChart>
      <c:catAx>
        <c:axId val="8954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4335"/>
        <c:crosses val="autoZero"/>
        <c:auto val="1"/>
        <c:lblAlgn val="ctr"/>
        <c:lblOffset val="100"/>
        <c:noMultiLvlLbl val="0"/>
      </c:catAx>
      <c:valAx>
        <c:axId val="203984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0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236220</xdr:colOff>
      <xdr:row>2</xdr:row>
      <xdr:rowOff>91440</xdr:rowOff>
    </xdr:from>
    <xdr:to>
      <xdr:col>7</xdr:col>
      <xdr:colOff>525780</xdr:colOff>
      <xdr:row>14</xdr:row>
      <xdr:rowOff>167640</xdr:rowOff>
    </xdr:to>
    <xdr:graphicFrame macro="">
      <xdr:nvGraphicFramePr>
        <xdr:cNvPr id="2" name="Chart 1">
          <a:extLst>
            <a:ext uri="{FF2B5EF4-FFF2-40B4-BE49-F238E27FC236}">
              <a16:creationId xmlns:a16="http://schemas.microsoft.com/office/drawing/2014/main" id="{01C568AB-7D05-4627-8CDC-D6AA9192B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2</xdr:row>
      <xdr:rowOff>91440</xdr:rowOff>
    </xdr:from>
    <xdr:to>
      <xdr:col>16</xdr:col>
      <xdr:colOff>342900</xdr:colOff>
      <xdr:row>14</xdr:row>
      <xdr:rowOff>175260</xdr:rowOff>
    </xdr:to>
    <xdr:graphicFrame macro="">
      <xdr:nvGraphicFramePr>
        <xdr:cNvPr id="3" name="Chart 2">
          <a:extLst>
            <a:ext uri="{FF2B5EF4-FFF2-40B4-BE49-F238E27FC236}">
              <a16:creationId xmlns:a16="http://schemas.microsoft.com/office/drawing/2014/main" id="{5D353A14-5CB5-40ED-B316-537F427F1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15</xdr:row>
      <xdr:rowOff>22860</xdr:rowOff>
    </xdr:from>
    <xdr:to>
      <xdr:col>7</xdr:col>
      <xdr:colOff>541020</xdr:colOff>
      <xdr:row>28</xdr:row>
      <xdr:rowOff>165420</xdr:rowOff>
    </xdr:to>
    <xdr:graphicFrame macro="">
      <xdr:nvGraphicFramePr>
        <xdr:cNvPr id="4" name="Chart 3">
          <a:extLst>
            <a:ext uri="{FF2B5EF4-FFF2-40B4-BE49-F238E27FC236}">
              <a16:creationId xmlns:a16="http://schemas.microsoft.com/office/drawing/2014/main" id="{EE9575AC-0333-4E42-BFDA-458CDFB1F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129540</xdr:colOff>
      <xdr:row>15</xdr:row>
      <xdr:rowOff>15240</xdr:rowOff>
    </xdr:from>
    <xdr:to>
      <xdr:col>16</xdr:col>
      <xdr:colOff>335280</xdr:colOff>
      <xdr:row>28</xdr:row>
      <xdr:rowOff>157800</xdr:rowOff>
    </xdr:to>
    <xdr:graphicFrame macro="">
      <xdr:nvGraphicFramePr>
        <xdr:cNvPr id="5" name="Chart 4">
          <a:extLst>
            <a:ext uri="{FF2B5EF4-FFF2-40B4-BE49-F238E27FC236}">
              <a16:creationId xmlns:a16="http://schemas.microsoft.com/office/drawing/2014/main" id="{49AB2110-5E6C-4387-B5D4-E10F526C7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175260</xdr:colOff>
      <xdr:row>2</xdr:row>
      <xdr:rowOff>60960</xdr:rowOff>
    </xdr:from>
    <xdr:to>
      <xdr:col>23</xdr:col>
      <xdr:colOff>22860</xdr:colOff>
      <xdr:row>25</xdr:row>
      <xdr:rowOff>22859</xdr:rowOff>
    </xdr:to>
    <mc:AlternateContent xmlns:mc="http://schemas.openxmlformats.org/markup-compatibility/2006">
      <mc:Choice xmlns:a14="http://schemas.microsoft.com/office/drawing/2010/main" Requires="a14">
        <xdr:graphicFrame macro="">
          <xdr:nvGraphicFramePr>
            <xdr:cNvPr id="6" name="Course">
              <a:extLst>
                <a:ext uri="{FF2B5EF4-FFF2-40B4-BE49-F238E27FC236}">
                  <a16:creationId xmlns:a16="http://schemas.microsoft.com/office/drawing/2014/main" id="{801FD9C8-C2FF-43EE-A8C2-FEADAE55A177}"/>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12367260" y="906780"/>
              <a:ext cx="1676400" cy="4168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15</xdr:row>
      <xdr:rowOff>38101</xdr:rowOff>
    </xdr:from>
    <xdr:to>
      <xdr:col>20</xdr:col>
      <xdr:colOff>99060</xdr:colOff>
      <xdr:row>25</xdr:row>
      <xdr:rowOff>7621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5AA1875C-CD11-438E-BF07-C30E4DAFF3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759440" y="3261361"/>
              <a:ext cx="153162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381000</xdr:colOff>
      <xdr:row>2</xdr:row>
      <xdr:rowOff>76199</xdr:rowOff>
    </xdr:from>
    <xdr:to>
      <xdr:col>20</xdr:col>
      <xdr:colOff>83820</xdr:colOff>
      <xdr:row>9</xdr:row>
      <xdr:rowOff>0</xdr:rowOff>
    </xdr:to>
    <mc:AlternateContent xmlns:mc="http://schemas.openxmlformats.org/markup-compatibility/2006">
      <mc:Choice xmlns:a14="http://schemas.microsoft.com/office/drawing/2010/main" Requires="a14">
        <xdr:graphicFrame macro="">
          <xdr:nvGraphicFramePr>
            <xdr:cNvPr id="8" name="Age_group">
              <a:extLst>
                <a:ext uri="{FF2B5EF4-FFF2-40B4-BE49-F238E27FC236}">
                  <a16:creationId xmlns:a16="http://schemas.microsoft.com/office/drawing/2014/main" id="{4C77CA24-105B-405A-92AB-84D3AB31760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0744200" y="922019"/>
              <a:ext cx="1531620" cy="1203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388620</xdr:colOff>
      <xdr:row>9</xdr:row>
      <xdr:rowOff>60961</xdr:rowOff>
    </xdr:from>
    <xdr:to>
      <xdr:col>20</xdr:col>
      <xdr:colOff>68580</xdr:colOff>
      <xdr:row>14</xdr:row>
      <xdr:rowOff>152400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74FEF0A3-29C1-4599-ADCC-5D175E9D60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51820" y="2186941"/>
              <a:ext cx="150876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Negi" refreshedDate="46297.54084814815" createdVersion="8" refreshedVersion="8" minRefreshableVersion="3" recordCount="101" xr:uid="{8470CFCE-0C37-4169-9125-5DDDF6C73AF4}">
  <cacheSource type="worksheet">
    <worksheetSource name="StudentData"/>
  </cacheSource>
  <cacheFields count="14">
    <cacheField name="Timestamp" numFmtId="22">
      <sharedItems containsSemiMixedTypes="0" containsNonDate="0" containsDate="1" containsString="0" minDate="2020-07-08T12:02:00" maxDate="2020-07-18T20:16:21"/>
    </cacheField>
    <cacheField name="Gender" numFmtId="0">
      <sharedItems count="2">
        <s v="Female"/>
        <s v="Male"/>
      </sharedItems>
    </cacheField>
    <cacheField name="Age" numFmtId="0">
      <sharedItems containsSemiMixedTypes="0" containsString="0" containsNumber="1" containsInteger="1" minValue="18" maxValue="24" count="7">
        <n v="18"/>
        <n v="21"/>
        <n v="19"/>
        <n v="22"/>
        <n v="23"/>
        <n v="24"/>
        <n v="20"/>
      </sharedItems>
    </cacheField>
    <cacheField name="Course" numFmtId="0">
      <sharedItems count="37">
        <s v="Engineering"/>
        <s v="Islamic Education"/>
        <s v="BIT"/>
        <s v="Law"/>
        <s v="Mathemathics"/>
        <s v="Pendidikan Islam "/>
        <s v="BCS"/>
        <s v="Human Resources"/>
        <s v="Irkhs"/>
        <s v="Psychology"/>
        <s v="KENMS"/>
        <s v="Accounting "/>
        <s v="ENM"/>
        <s v="Marine science"/>
        <s v="KOE"/>
        <s v="Banking Studies"/>
        <s v="Business Administration"/>
        <s v="KIRKHS"/>
        <s v="Usuluddin "/>
        <s v="TAASL"/>
        <s v="ALA"/>
        <s v="Biomedical science"/>
        <s v="BENL"/>
        <s v="IT"/>
        <s v="CTS"/>
        <s v="Econs"/>
        <s v="MHSC"/>
        <s v="Malcom"/>
        <s v="Kop"/>
        <s v="Human Sciences "/>
        <s v="Biotechnology"/>
        <s v="Communication "/>
        <s v="Diploma Nursing"/>
        <s v="Radiography"/>
        <s v="Fiqh fatwa "/>
        <s v="DIPLOMA TESL"/>
        <s v="Nursing "/>
      </sharedItems>
    </cacheField>
    <cacheField name="Year" numFmtId="0">
      <sharedItems count="4">
        <s v="Year 1"/>
        <s v="Year 2"/>
        <s v="Year 3"/>
        <s v="Year 4"/>
      </sharedItems>
    </cacheField>
    <cacheField name="CGPA_Range" numFmtId="0">
      <sharedItems count="6">
        <s v="3.00 - 3.49"/>
        <s v="3.50 - 4.00"/>
        <s v="2.50 - 2.99"/>
        <s v="2.00 - 2.49"/>
        <s v="0 - 1.99"/>
        <s v="3.50 - 4.00 " u="1"/>
      </sharedItems>
    </cacheField>
    <cacheField name="Marital_status" numFmtId="0">
      <sharedItems/>
    </cacheField>
    <cacheField name="Depression" numFmtId="0">
      <sharedItems count="2">
        <s v="Yes"/>
        <s v="No"/>
      </sharedItems>
    </cacheField>
    <cacheField name="Anxiety" numFmtId="0">
      <sharedItems count="2">
        <s v="No"/>
        <s v="Yes"/>
      </sharedItems>
    </cacheField>
    <cacheField name="Panic_attack" numFmtId="0">
      <sharedItems/>
    </cacheField>
    <cacheField name="Sought_treatment" numFmtId="0">
      <sharedItems count="2">
        <s v="No"/>
        <s v="Yes"/>
      </sharedItems>
    </cacheField>
    <cacheField name="Any_Issue" numFmtId="0">
      <sharedItems count="2">
        <s v="Yes"/>
        <s v="No"/>
      </sharedItems>
    </cacheField>
    <cacheField name="Age_group" numFmtId="0">
      <sharedItems count="3">
        <s v="18-19"/>
        <s v="20-21"/>
        <s v="22+"/>
      </sharedItems>
    </cacheField>
    <cacheField name="CGPA_Trim" numFmtId="0">
      <sharedItems/>
    </cacheField>
  </cacheFields>
  <extLst>
    <ext xmlns:x14="http://schemas.microsoft.com/office/spreadsheetml/2009/9/main" uri="{725AE2AE-9491-48be-B2B4-4EB974FC3084}">
      <x14:pivotCacheDefinition pivotCacheId="2140342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d v="2020-07-08T12:02:00"/>
    <x v="0"/>
    <x v="0"/>
    <x v="0"/>
    <x v="0"/>
    <x v="0"/>
    <s v="No"/>
    <x v="0"/>
    <x v="0"/>
    <s v="Yes"/>
    <x v="0"/>
    <x v="0"/>
    <x v="0"/>
    <s v="3.00 - 3.49"/>
  </r>
  <r>
    <d v="2020-07-08T12:04:00"/>
    <x v="1"/>
    <x v="1"/>
    <x v="1"/>
    <x v="1"/>
    <x v="0"/>
    <s v="No"/>
    <x v="1"/>
    <x v="1"/>
    <s v="No"/>
    <x v="0"/>
    <x v="0"/>
    <x v="1"/>
    <s v="3.00 - 3.49"/>
  </r>
  <r>
    <d v="2020-07-08T12:05:00"/>
    <x v="1"/>
    <x v="2"/>
    <x v="2"/>
    <x v="0"/>
    <x v="0"/>
    <s v="No"/>
    <x v="0"/>
    <x v="1"/>
    <s v="Yes"/>
    <x v="0"/>
    <x v="0"/>
    <x v="0"/>
    <s v="3.00 - 3.49"/>
  </r>
  <r>
    <d v="2020-07-08T12:06:00"/>
    <x v="0"/>
    <x v="3"/>
    <x v="3"/>
    <x v="2"/>
    <x v="0"/>
    <s v="Yes"/>
    <x v="0"/>
    <x v="0"/>
    <s v="No"/>
    <x v="0"/>
    <x v="0"/>
    <x v="2"/>
    <s v="3.00 - 3.49"/>
  </r>
  <r>
    <d v="2020-07-08T12:13:00"/>
    <x v="1"/>
    <x v="4"/>
    <x v="4"/>
    <x v="3"/>
    <x v="0"/>
    <s v="No"/>
    <x v="1"/>
    <x v="0"/>
    <s v="No"/>
    <x v="0"/>
    <x v="1"/>
    <x v="2"/>
    <s v="3.00 - 3.49"/>
  </r>
  <r>
    <d v="2020-07-08T12:31:00"/>
    <x v="1"/>
    <x v="2"/>
    <x v="0"/>
    <x v="1"/>
    <x v="1"/>
    <s v="No"/>
    <x v="1"/>
    <x v="0"/>
    <s v="Yes"/>
    <x v="0"/>
    <x v="0"/>
    <x v="0"/>
    <s v="3.50 - 4.00"/>
  </r>
  <r>
    <d v="2020-07-08T12:32:00"/>
    <x v="0"/>
    <x v="4"/>
    <x v="5"/>
    <x v="1"/>
    <x v="1"/>
    <s v="Yes"/>
    <x v="0"/>
    <x v="0"/>
    <s v="Yes"/>
    <x v="0"/>
    <x v="0"/>
    <x v="2"/>
    <s v="3.50 - 4.00"/>
  </r>
  <r>
    <d v="2020-07-08T12:33:00"/>
    <x v="0"/>
    <x v="0"/>
    <x v="6"/>
    <x v="0"/>
    <x v="1"/>
    <s v="No"/>
    <x v="1"/>
    <x v="1"/>
    <s v="No"/>
    <x v="0"/>
    <x v="0"/>
    <x v="0"/>
    <s v="3.50 - 4.00"/>
  </r>
  <r>
    <d v="2020-07-08T12:35:00"/>
    <x v="0"/>
    <x v="2"/>
    <x v="7"/>
    <x v="1"/>
    <x v="2"/>
    <s v="No"/>
    <x v="1"/>
    <x v="0"/>
    <s v="No"/>
    <x v="0"/>
    <x v="1"/>
    <x v="0"/>
    <s v="2.50 - 2.99"/>
  </r>
  <r>
    <d v="2020-07-08T12:39:00"/>
    <x v="0"/>
    <x v="5"/>
    <x v="0"/>
    <x v="2"/>
    <x v="1"/>
    <s v="Yes"/>
    <x v="0"/>
    <x v="0"/>
    <s v="No"/>
    <x v="0"/>
    <x v="0"/>
    <x v="2"/>
    <s v="3.50 - 4.00"/>
  </r>
  <r>
    <d v="2020-07-08T12:39:00"/>
    <x v="1"/>
    <x v="0"/>
    <x v="8"/>
    <x v="0"/>
    <x v="1"/>
    <s v="No"/>
    <x v="1"/>
    <x v="1"/>
    <s v="Yes"/>
    <x v="0"/>
    <x v="0"/>
    <x v="0"/>
    <s v="3.50 - 4.00"/>
  </r>
  <r>
    <d v="2020-07-08T12:39:00"/>
    <x v="0"/>
    <x v="6"/>
    <x v="9"/>
    <x v="0"/>
    <x v="1"/>
    <s v="No"/>
    <x v="1"/>
    <x v="0"/>
    <s v="No"/>
    <x v="0"/>
    <x v="1"/>
    <x v="1"/>
    <s v="3.50 - 4.00"/>
  </r>
  <r>
    <d v="2020-07-08T12:40:00"/>
    <x v="0"/>
    <x v="0"/>
    <x v="6"/>
    <x v="0"/>
    <x v="0"/>
    <s v="No"/>
    <x v="0"/>
    <x v="0"/>
    <s v="No"/>
    <x v="0"/>
    <x v="0"/>
    <x v="0"/>
    <s v="3.00 - 3.49"/>
  </r>
  <r>
    <d v="2020-07-08T12:41:00"/>
    <x v="1"/>
    <x v="2"/>
    <x v="0"/>
    <x v="0"/>
    <x v="0"/>
    <s v="No"/>
    <x v="1"/>
    <x v="0"/>
    <s v="No"/>
    <x v="0"/>
    <x v="1"/>
    <x v="0"/>
    <s v="3.00 - 3.49"/>
  </r>
  <r>
    <d v="2020-07-08T12:43:00"/>
    <x v="1"/>
    <x v="5"/>
    <x v="6"/>
    <x v="2"/>
    <x v="1"/>
    <s v="No"/>
    <x v="1"/>
    <x v="0"/>
    <s v="No"/>
    <x v="0"/>
    <x v="1"/>
    <x v="2"/>
    <s v="3.50 - 4.00"/>
  </r>
  <r>
    <d v="2020-07-08T12:43:00"/>
    <x v="0"/>
    <x v="0"/>
    <x v="10"/>
    <x v="1"/>
    <x v="1"/>
    <s v="No"/>
    <x v="1"/>
    <x v="1"/>
    <s v="No"/>
    <x v="0"/>
    <x v="0"/>
    <x v="0"/>
    <s v="3.50 - 4.00"/>
  </r>
  <r>
    <d v="2020-07-08T12:46:00"/>
    <x v="0"/>
    <x v="5"/>
    <x v="11"/>
    <x v="2"/>
    <x v="0"/>
    <s v="No"/>
    <x v="1"/>
    <x v="0"/>
    <s v="No"/>
    <x v="0"/>
    <x v="1"/>
    <x v="2"/>
    <s v="3.00 - 3.49"/>
  </r>
  <r>
    <d v="2020-07-08T12:52:00"/>
    <x v="0"/>
    <x v="5"/>
    <x v="12"/>
    <x v="3"/>
    <x v="0"/>
    <s v="Yes"/>
    <x v="0"/>
    <x v="1"/>
    <s v="Yes"/>
    <x v="0"/>
    <x v="0"/>
    <x v="2"/>
    <s v="3.00 - 3.49"/>
  </r>
  <r>
    <d v="2020-07-08T13:05:00"/>
    <x v="0"/>
    <x v="6"/>
    <x v="2"/>
    <x v="1"/>
    <x v="1"/>
    <s v="No"/>
    <x v="1"/>
    <x v="1"/>
    <s v="No"/>
    <x v="0"/>
    <x v="0"/>
    <x v="1"/>
    <s v="3.50 - 4.00"/>
  </r>
  <r>
    <d v="2020-07-08T13:07:00"/>
    <x v="0"/>
    <x v="0"/>
    <x v="13"/>
    <x v="1"/>
    <x v="1"/>
    <s v="Yes"/>
    <x v="0"/>
    <x v="1"/>
    <s v="Yes"/>
    <x v="0"/>
    <x v="0"/>
    <x v="0"/>
    <s v="3.50 - 4.00"/>
  </r>
  <r>
    <d v="2020-07-08T13:12:00"/>
    <x v="0"/>
    <x v="2"/>
    <x v="0"/>
    <x v="0"/>
    <x v="0"/>
    <s v="No"/>
    <x v="1"/>
    <x v="0"/>
    <s v="Yes"/>
    <x v="0"/>
    <x v="0"/>
    <x v="0"/>
    <s v="3.00 - 3.49"/>
  </r>
  <r>
    <d v="2020-07-08T13:13:00"/>
    <x v="0"/>
    <x v="5"/>
    <x v="6"/>
    <x v="0"/>
    <x v="1"/>
    <s v="No"/>
    <x v="1"/>
    <x v="0"/>
    <s v="No"/>
    <x v="0"/>
    <x v="1"/>
    <x v="2"/>
    <s v="3.50 - 4.00"/>
  </r>
  <r>
    <d v="2020-07-08T13:13:00"/>
    <x v="0"/>
    <x v="0"/>
    <x v="14"/>
    <x v="1"/>
    <x v="0"/>
    <s v="No"/>
    <x v="1"/>
    <x v="0"/>
    <s v="No"/>
    <x v="0"/>
    <x v="1"/>
    <x v="0"/>
    <s v="3.00 - 3.49"/>
  </r>
  <r>
    <d v="2020-07-08T13:15:00"/>
    <x v="0"/>
    <x v="5"/>
    <x v="0"/>
    <x v="0"/>
    <x v="0"/>
    <s v="No"/>
    <x v="1"/>
    <x v="0"/>
    <s v="No"/>
    <x v="0"/>
    <x v="1"/>
    <x v="2"/>
    <s v="3.00 - 3.49"/>
  </r>
  <r>
    <d v="2020-07-08T13:17:00"/>
    <x v="0"/>
    <x v="4"/>
    <x v="6"/>
    <x v="2"/>
    <x v="1"/>
    <s v="No"/>
    <x v="0"/>
    <x v="1"/>
    <s v="Yes"/>
    <x v="0"/>
    <x v="0"/>
    <x v="2"/>
    <s v="3.50 - 4.00"/>
  </r>
  <r>
    <d v="2020-07-08T13:29:00"/>
    <x v="0"/>
    <x v="0"/>
    <x v="15"/>
    <x v="0"/>
    <x v="1"/>
    <s v="No"/>
    <x v="1"/>
    <x v="0"/>
    <s v="No"/>
    <x v="0"/>
    <x v="1"/>
    <x v="0"/>
    <s v="3.50 - 4.00"/>
  </r>
  <r>
    <d v="2020-07-08T13:35:00"/>
    <x v="0"/>
    <x v="2"/>
    <x v="0"/>
    <x v="0"/>
    <x v="1"/>
    <s v="No"/>
    <x v="1"/>
    <x v="0"/>
    <s v="No"/>
    <x v="0"/>
    <x v="1"/>
    <x v="0"/>
    <s v="3.50 - 4.00"/>
  </r>
  <r>
    <d v="2020-07-08T13:41:00"/>
    <x v="1"/>
    <x v="0"/>
    <x v="0"/>
    <x v="1"/>
    <x v="0"/>
    <s v="Yes"/>
    <x v="0"/>
    <x v="1"/>
    <s v="No"/>
    <x v="0"/>
    <x v="0"/>
    <x v="0"/>
    <s v="3.00 - 3.49"/>
  </r>
  <r>
    <d v="2020-07-08T13:58:00"/>
    <x v="0"/>
    <x v="5"/>
    <x v="2"/>
    <x v="2"/>
    <x v="1"/>
    <s v="Yes"/>
    <x v="0"/>
    <x v="1"/>
    <s v="Yes"/>
    <x v="1"/>
    <x v="0"/>
    <x v="2"/>
    <s v="3.50 - 4.00"/>
  </r>
  <r>
    <d v="2020-07-08T14:05:00"/>
    <x v="0"/>
    <x v="5"/>
    <x v="6"/>
    <x v="3"/>
    <x v="1"/>
    <s v="No"/>
    <x v="1"/>
    <x v="0"/>
    <s v="No"/>
    <x v="0"/>
    <x v="1"/>
    <x v="2"/>
    <s v="3.50 - 4.00"/>
  </r>
  <r>
    <d v="2020-07-08T14:27:00"/>
    <x v="0"/>
    <x v="4"/>
    <x v="16"/>
    <x v="1"/>
    <x v="0"/>
    <s v="No"/>
    <x v="1"/>
    <x v="0"/>
    <s v="No"/>
    <x v="0"/>
    <x v="1"/>
    <x v="2"/>
    <s v="3.00 - 3.49"/>
  </r>
  <r>
    <d v="2020-07-08T14:29:00"/>
    <x v="1"/>
    <x v="0"/>
    <x v="6"/>
    <x v="1"/>
    <x v="0"/>
    <s v="No"/>
    <x v="1"/>
    <x v="0"/>
    <s v="No"/>
    <x v="0"/>
    <x v="1"/>
    <x v="0"/>
    <s v="3.00 - 3.49"/>
  </r>
  <r>
    <d v="2020-07-08T14:29:00"/>
    <x v="1"/>
    <x v="2"/>
    <x v="6"/>
    <x v="0"/>
    <x v="1"/>
    <s v="No"/>
    <x v="1"/>
    <x v="0"/>
    <s v="Yes"/>
    <x v="0"/>
    <x v="0"/>
    <x v="0"/>
    <s v="3.50 - 4.00"/>
  </r>
  <r>
    <d v="2020-07-08T14:31:00"/>
    <x v="1"/>
    <x v="0"/>
    <x v="6"/>
    <x v="1"/>
    <x v="1"/>
    <s v="Yes"/>
    <x v="0"/>
    <x v="1"/>
    <s v="No"/>
    <x v="1"/>
    <x v="0"/>
    <x v="0"/>
    <s v="3.50 - 4.00"/>
  </r>
  <r>
    <d v="2020-07-08T14:41:00"/>
    <x v="0"/>
    <x v="2"/>
    <x v="2"/>
    <x v="0"/>
    <x v="0"/>
    <s v="No"/>
    <x v="0"/>
    <x v="1"/>
    <s v="Yes"/>
    <x v="0"/>
    <x v="0"/>
    <x v="0"/>
    <s v="3.00 - 3.49"/>
  </r>
  <r>
    <d v="2020-07-08T14:43:00"/>
    <x v="0"/>
    <x v="0"/>
    <x v="0"/>
    <x v="0"/>
    <x v="3"/>
    <s v="No"/>
    <x v="1"/>
    <x v="0"/>
    <s v="No"/>
    <x v="0"/>
    <x v="1"/>
    <x v="0"/>
    <s v="2.00 - 2.49"/>
  </r>
  <r>
    <d v="2020-07-08T14:43:00"/>
    <x v="0"/>
    <x v="0"/>
    <x v="3"/>
    <x v="2"/>
    <x v="0"/>
    <s v="No"/>
    <x v="0"/>
    <x v="1"/>
    <s v="No"/>
    <x v="0"/>
    <x v="0"/>
    <x v="0"/>
    <s v="3.00 - 3.49"/>
  </r>
  <r>
    <d v="2020-07-08T14:45:00"/>
    <x v="0"/>
    <x v="2"/>
    <x v="2"/>
    <x v="0"/>
    <x v="2"/>
    <s v="No"/>
    <x v="0"/>
    <x v="1"/>
    <s v="Yes"/>
    <x v="0"/>
    <x v="0"/>
    <x v="0"/>
    <s v="2.50 - 2.99"/>
  </r>
  <r>
    <d v="2020-07-08T14:47:00"/>
    <x v="0"/>
    <x v="0"/>
    <x v="17"/>
    <x v="0"/>
    <x v="1"/>
    <s v="No"/>
    <x v="1"/>
    <x v="0"/>
    <s v="No"/>
    <x v="0"/>
    <x v="1"/>
    <x v="0"/>
    <s v="3.50 - 4.00"/>
  </r>
  <r>
    <d v="2020-07-08T14:56:00"/>
    <x v="0"/>
    <x v="5"/>
    <x v="0"/>
    <x v="1"/>
    <x v="2"/>
    <s v="Yes"/>
    <x v="0"/>
    <x v="0"/>
    <s v="Yes"/>
    <x v="1"/>
    <x v="0"/>
    <x v="2"/>
    <s v="2.50 - 2.99"/>
  </r>
  <r>
    <d v="2020-07-08T14:57:00"/>
    <x v="0"/>
    <x v="5"/>
    <x v="2"/>
    <x v="2"/>
    <x v="0"/>
    <s v="No"/>
    <x v="1"/>
    <x v="1"/>
    <s v="No"/>
    <x v="0"/>
    <x v="0"/>
    <x v="2"/>
    <s v="3.00 - 3.49"/>
  </r>
  <r>
    <d v="2020-07-08T14:57:00"/>
    <x v="0"/>
    <x v="3"/>
    <x v="0"/>
    <x v="3"/>
    <x v="1"/>
    <s v="No"/>
    <x v="1"/>
    <x v="0"/>
    <s v="No"/>
    <x v="0"/>
    <x v="1"/>
    <x v="2"/>
    <s v="3.50 - 4.00"/>
  </r>
  <r>
    <d v="2020-07-08T14:58:00"/>
    <x v="0"/>
    <x v="6"/>
    <x v="18"/>
    <x v="1"/>
    <x v="0"/>
    <s v="No"/>
    <x v="0"/>
    <x v="0"/>
    <s v="No"/>
    <x v="0"/>
    <x v="0"/>
    <x v="1"/>
    <s v="3.00 - 3.49"/>
  </r>
  <r>
    <d v="2020-07-08T15:07:00"/>
    <x v="1"/>
    <x v="1"/>
    <x v="2"/>
    <x v="0"/>
    <x v="4"/>
    <s v="No"/>
    <x v="1"/>
    <x v="0"/>
    <s v="No"/>
    <x v="0"/>
    <x v="1"/>
    <x v="1"/>
    <s v="0 - 1.99"/>
  </r>
  <r>
    <d v="2020-07-08T15:08:00"/>
    <x v="1"/>
    <x v="4"/>
    <x v="19"/>
    <x v="1"/>
    <x v="1"/>
    <s v="No"/>
    <x v="1"/>
    <x v="0"/>
    <s v="Yes"/>
    <x v="0"/>
    <x v="0"/>
    <x v="2"/>
    <s v="3.50 - 4.00"/>
  </r>
  <r>
    <d v="2020-07-08T15:09:00"/>
    <x v="1"/>
    <x v="0"/>
    <x v="6"/>
    <x v="0"/>
    <x v="1"/>
    <s v="No"/>
    <x v="1"/>
    <x v="1"/>
    <s v="Yes"/>
    <x v="0"/>
    <x v="0"/>
    <x v="0"/>
    <s v="3.50 - 4.00"/>
  </r>
  <r>
    <d v="2020-07-08T15:12:00"/>
    <x v="0"/>
    <x v="2"/>
    <x v="0"/>
    <x v="0"/>
    <x v="1"/>
    <s v="No"/>
    <x v="1"/>
    <x v="1"/>
    <s v="No"/>
    <x v="0"/>
    <x v="0"/>
    <x v="0"/>
    <s v="3.50 - 4.00"/>
  </r>
  <r>
    <d v="2020-07-08T15:14:00"/>
    <x v="1"/>
    <x v="5"/>
    <x v="6"/>
    <x v="1"/>
    <x v="0"/>
    <s v="No"/>
    <x v="0"/>
    <x v="0"/>
    <s v="No"/>
    <x v="0"/>
    <x v="0"/>
    <x v="2"/>
    <s v="3.00 - 3.49"/>
  </r>
  <r>
    <d v="2020-07-08T15:14:00"/>
    <x v="0"/>
    <x v="0"/>
    <x v="0"/>
    <x v="3"/>
    <x v="1"/>
    <s v="No"/>
    <x v="1"/>
    <x v="0"/>
    <s v="No"/>
    <x v="0"/>
    <x v="1"/>
    <x v="0"/>
    <s v="3.50 - 4.00"/>
  </r>
  <r>
    <d v="2020-07-08T15:18:00"/>
    <x v="0"/>
    <x v="5"/>
    <x v="6"/>
    <x v="2"/>
    <x v="1"/>
    <s v="No"/>
    <x v="1"/>
    <x v="0"/>
    <s v="Yes"/>
    <x v="0"/>
    <x v="0"/>
    <x v="2"/>
    <s v="3.50 - 4.00"/>
  </r>
  <r>
    <d v="2020-07-08T15:27:00"/>
    <x v="0"/>
    <x v="4"/>
    <x v="20"/>
    <x v="0"/>
    <x v="2"/>
    <s v="Yes"/>
    <x v="0"/>
    <x v="0"/>
    <s v="Yes"/>
    <x v="1"/>
    <x v="0"/>
    <x v="2"/>
    <s v="2.50 - 2.99"/>
  </r>
  <r>
    <d v="2020-07-08T15:37:00"/>
    <x v="0"/>
    <x v="0"/>
    <x v="6"/>
    <x v="1"/>
    <x v="1"/>
    <s v="No"/>
    <x v="1"/>
    <x v="1"/>
    <s v="No"/>
    <x v="0"/>
    <x v="0"/>
    <x v="0"/>
    <s v="3.50 - 4.00"/>
  </r>
  <r>
    <d v="2020-07-08T15:47:00"/>
    <x v="0"/>
    <x v="2"/>
    <x v="21"/>
    <x v="2"/>
    <x v="0"/>
    <s v="No"/>
    <x v="1"/>
    <x v="0"/>
    <s v="No"/>
    <x v="0"/>
    <x v="1"/>
    <x v="0"/>
    <s v="3.00 - 3.49"/>
  </r>
  <r>
    <d v="2020-07-08T15:48:00"/>
    <x v="0"/>
    <x v="6"/>
    <x v="14"/>
    <x v="2"/>
    <x v="0"/>
    <s v="Yes"/>
    <x v="0"/>
    <x v="1"/>
    <s v="Yes"/>
    <x v="0"/>
    <x v="0"/>
    <x v="1"/>
    <s v="3.00 - 3.49"/>
  </r>
  <r>
    <d v="2020-07-08T15:57:00"/>
    <x v="0"/>
    <x v="2"/>
    <x v="6"/>
    <x v="0"/>
    <x v="1"/>
    <s v="No"/>
    <x v="0"/>
    <x v="0"/>
    <s v="Yes"/>
    <x v="1"/>
    <x v="0"/>
    <x v="0"/>
    <s v="3.50 - 4.00"/>
  </r>
  <r>
    <d v="2020-07-08T15:58:00"/>
    <x v="1"/>
    <x v="1"/>
    <x v="6"/>
    <x v="0"/>
    <x v="0"/>
    <s v="No"/>
    <x v="1"/>
    <x v="0"/>
    <s v="No"/>
    <x v="0"/>
    <x v="1"/>
    <x v="1"/>
    <s v="3.00 - 3.49"/>
  </r>
  <r>
    <d v="2020-07-08T16:08:00"/>
    <x v="1"/>
    <x v="4"/>
    <x v="17"/>
    <x v="2"/>
    <x v="1"/>
    <s v="No"/>
    <x v="1"/>
    <x v="0"/>
    <s v="No"/>
    <x v="0"/>
    <x v="1"/>
    <x v="2"/>
    <s v="3.50 - 4.00"/>
  </r>
  <r>
    <d v="2020-07-08T16:21:00"/>
    <x v="0"/>
    <x v="6"/>
    <x v="22"/>
    <x v="2"/>
    <x v="0"/>
    <s v="No"/>
    <x v="0"/>
    <x v="1"/>
    <s v="No"/>
    <x v="0"/>
    <x v="0"/>
    <x v="1"/>
    <s v="3.00 - 3.49"/>
  </r>
  <r>
    <d v="2020-07-08T16:22:00"/>
    <x v="0"/>
    <x v="0"/>
    <x v="6"/>
    <x v="0"/>
    <x v="1"/>
    <s v="No"/>
    <x v="1"/>
    <x v="0"/>
    <s v="No"/>
    <x v="0"/>
    <x v="1"/>
    <x v="0"/>
    <s v="3.50 - 4.00"/>
  </r>
  <r>
    <d v="2020-07-08T16:34:00"/>
    <x v="0"/>
    <x v="4"/>
    <x v="22"/>
    <x v="0"/>
    <x v="0"/>
    <s v="No"/>
    <x v="1"/>
    <x v="0"/>
    <s v="No"/>
    <x v="0"/>
    <x v="1"/>
    <x v="2"/>
    <s v="3.00 - 3.49"/>
  </r>
  <r>
    <d v="2020-07-08T16:34:00"/>
    <x v="0"/>
    <x v="0"/>
    <x v="23"/>
    <x v="2"/>
    <x v="0"/>
    <s v="No"/>
    <x v="1"/>
    <x v="0"/>
    <s v="Yes"/>
    <x v="0"/>
    <x v="0"/>
    <x v="0"/>
    <s v="3.00 - 3.49"/>
  </r>
  <r>
    <d v="2020-07-08T16:53:00"/>
    <x v="0"/>
    <x v="2"/>
    <x v="6"/>
    <x v="0"/>
    <x v="1"/>
    <s v="No"/>
    <x v="1"/>
    <x v="0"/>
    <s v="No"/>
    <x v="0"/>
    <x v="1"/>
    <x v="0"/>
    <s v="3.50 - 4.00"/>
  </r>
  <r>
    <d v="2020-07-08T17:05:00"/>
    <x v="0"/>
    <x v="0"/>
    <x v="24"/>
    <x v="0"/>
    <x v="1"/>
    <s v="No"/>
    <x v="1"/>
    <x v="0"/>
    <s v="Yes"/>
    <x v="0"/>
    <x v="0"/>
    <x v="0"/>
    <s v="3.50 - 4.00"/>
  </r>
  <r>
    <d v="2020-07-08T17:37:00"/>
    <x v="0"/>
    <x v="5"/>
    <x v="0"/>
    <x v="0"/>
    <x v="1"/>
    <s v="No"/>
    <x v="1"/>
    <x v="0"/>
    <s v="Yes"/>
    <x v="0"/>
    <x v="0"/>
    <x v="2"/>
    <s v="3.50 - 4.00"/>
  </r>
  <r>
    <d v="2020-07-08T17:46:00"/>
    <x v="0"/>
    <x v="5"/>
    <x v="0"/>
    <x v="0"/>
    <x v="1"/>
    <s v="No"/>
    <x v="1"/>
    <x v="0"/>
    <s v="No"/>
    <x v="0"/>
    <x v="1"/>
    <x v="2"/>
    <s v="3.50 - 4.00"/>
  </r>
  <r>
    <d v="2020-07-08T17:50:00"/>
    <x v="0"/>
    <x v="4"/>
    <x v="25"/>
    <x v="0"/>
    <x v="1"/>
    <s v="No"/>
    <x v="0"/>
    <x v="1"/>
    <s v="No"/>
    <x v="0"/>
    <x v="0"/>
    <x v="2"/>
    <s v="3.50 - 4.00"/>
  </r>
  <r>
    <d v="2020-07-08T18:10:00"/>
    <x v="0"/>
    <x v="0"/>
    <x v="14"/>
    <x v="2"/>
    <x v="0"/>
    <s v="No"/>
    <x v="1"/>
    <x v="1"/>
    <s v="No"/>
    <x v="0"/>
    <x v="0"/>
    <x v="0"/>
    <s v="3.00 - 3.49"/>
  </r>
  <r>
    <d v="2020-07-08T18:11:00"/>
    <x v="1"/>
    <x v="2"/>
    <x v="26"/>
    <x v="2"/>
    <x v="0"/>
    <s v="Yes"/>
    <x v="0"/>
    <x v="0"/>
    <s v="Yes"/>
    <x v="0"/>
    <x v="0"/>
    <x v="0"/>
    <s v="3.00 - 3.49"/>
  </r>
  <r>
    <d v="2020-07-08T19:05:00"/>
    <x v="0"/>
    <x v="0"/>
    <x v="27"/>
    <x v="0"/>
    <x v="1"/>
    <s v="No"/>
    <x v="0"/>
    <x v="0"/>
    <s v="No"/>
    <x v="0"/>
    <x v="0"/>
    <x v="0"/>
    <s v="3.50 - 4.00"/>
  </r>
  <r>
    <d v="2020-07-08T19:32:00"/>
    <x v="0"/>
    <x v="5"/>
    <x v="28"/>
    <x v="3"/>
    <x v="0"/>
    <s v="No"/>
    <x v="1"/>
    <x v="1"/>
    <s v="No"/>
    <x v="0"/>
    <x v="0"/>
    <x v="2"/>
    <s v="3.00 - 3.49"/>
  </r>
  <r>
    <d v="2020-07-08T20:36:00"/>
    <x v="0"/>
    <x v="5"/>
    <x v="21"/>
    <x v="0"/>
    <x v="0"/>
    <s v="No"/>
    <x v="1"/>
    <x v="0"/>
    <s v="No"/>
    <x v="0"/>
    <x v="1"/>
    <x v="2"/>
    <s v="3.00 - 3.49"/>
  </r>
  <r>
    <d v="2020-07-08T21:21:00"/>
    <x v="0"/>
    <x v="0"/>
    <x v="3"/>
    <x v="2"/>
    <x v="1"/>
    <s v="No"/>
    <x v="1"/>
    <x v="0"/>
    <s v="Yes"/>
    <x v="0"/>
    <x v="0"/>
    <x v="0"/>
    <s v="3.50 - 4.00"/>
  </r>
  <r>
    <d v="2020-07-08T22:35:00"/>
    <x v="0"/>
    <x v="2"/>
    <x v="2"/>
    <x v="2"/>
    <x v="0"/>
    <s v="Yes"/>
    <x v="0"/>
    <x v="0"/>
    <s v="No"/>
    <x v="0"/>
    <x v="0"/>
    <x v="0"/>
    <s v="3.00 - 3.49"/>
  </r>
  <r>
    <d v="2020-07-09T06:57:00"/>
    <x v="1"/>
    <x v="0"/>
    <x v="21"/>
    <x v="0"/>
    <x v="4"/>
    <s v="No"/>
    <x v="1"/>
    <x v="0"/>
    <s v="No"/>
    <x v="0"/>
    <x v="1"/>
    <x v="0"/>
    <s v="0 - 1.99"/>
  </r>
  <r>
    <d v="2020-07-09T11:43:00"/>
    <x v="1"/>
    <x v="5"/>
    <x v="2"/>
    <x v="2"/>
    <x v="1"/>
    <s v="No"/>
    <x v="1"/>
    <x v="1"/>
    <s v="No"/>
    <x v="0"/>
    <x v="0"/>
    <x v="2"/>
    <s v="3.50 - 4.00"/>
  </r>
  <r>
    <d v="2020-07-09T11:57:00"/>
    <x v="0"/>
    <x v="5"/>
    <x v="14"/>
    <x v="0"/>
    <x v="1"/>
    <s v="No"/>
    <x v="1"/>
    <x v="1"/>
    <s v="Yes"/>
    <x v="0"/>
    <x v="0"/>
    <x v="2"/>
    <s v="3.50 - 4.00"/>
  </r>
  <r>
    <d v="2020-07-09T13:15:00"/>
    <x v="0"/>
    <x v="4"/>
    <x v="0"/>
    <x v="0"/>
    <x v="0"/>
    <s v="No"/>
    <x v="0"/>
    <x v="0"/>
    <s v="No"/>
    <x v="0"/>
    <x v="0"/>
    <x v="2"/>
    <s v="3.00 - 3.49"/>
  </r>
  <r>
    <d v="2020-07-09T18:24:00"/>
    <x v="0"/>
    <x v="0"/>
    <x v="29"/>
    <x v="1"/>
    <x v="0"/>
    <s v="No"/>
    <x v="1"/>
    <x v="0"/>
    <s v="Yes"/>
    <x v="0"/>
    <x v="0"/>
    <x v="0"/>
    <s v="3.00 - 3.49"/>
  </r>
  <r>
    <d v="2020-07-13T10:07:32"/>
    <x v="0"/>
    <x v="2"/>
    <x v="30"/>
    <x v="2"/>
    <x v="4"/>
    <s v="No"/>
    <x v="1"/>
    <x v="0"/>
    <s v="No"/>
    <x v="0"/>
    <x v="1"/>
    <x v="0"/>
    <s v="0 - 1.99"/>
  </r>
  <r>
    <d v="2020-07-13T10:10:30"/>
    <x v="0"/>
    <x v="0"/>
    <x v="0"/>
    <x v="3"/>
    <x v="1"/>
    <s v="No"/>
    <x v="1"/>
    <x v="0"/>
    <s v="No"/>
    <x v="0"/>
    <x v="1"/>
    <x v="0"/>
    <s v="3.50 - 4.00"/>
  </r>
  <r>
    <d v="2020-07-13T10:11:26"/>
    <x v="0"/>
    <x v="5"/>
    <x v="31"/>
    <x v="1"/>
    <x v="1"/>
    <s v="Yes"/>
    <x v="0"/>
    <x v="1"/>
    <s v="Yes"/>
    <x v="0"/>
    <x v="0"/>
    <x v="2"/>
    <s v="3.50 - 4.00"/>
  </r>
  <r>
    <d v="2020-07-13T10:12:18"/>
    <x v="0"/>
    <x v="5"/>
    <x v="32"/>
    <x v="1"/>
    <x v="1"/>
    <s v="No"/>
    <x v="1"/>
    <x v="0"/>
    <s v="No"/>
    <x v="0"/>
    <x v="1"/>
    <x v="2"/>
    <s v="3.50 - 4.00"/>
  </r>
  <r>
    <d v="2020-07-13T10:12:26"/>
    <x v="0"/>
    <x v="2"/>
    <x v="0"/>
    <x v="0"/>
    <x v="0"/>
    <s v="No"/>
    <x v="0"/>
    <x v="1"/>
    <s v="No"/>
    <x v="0"/>
    <x v="0"/>
    <x v="0"/>
    <s v="3.00 - 3.49"/>
  </r>
  <r>
    <d v="2020-07-13T10:12:28"/>
    <x v="0"/>
    <x v="2"/>
    <x v="5"/>
    <x v="1"/>
    <x v="0"/>
    <s v="No"/>
    <x v="1"/>
    <x v="0"/>
    <s v="No"/>
    <x v="0"/>
    <x v="1"/>
    <x v="0"/>
    <s v="3.00 - 3.49"/>
  </r>
  <r>
    <d v="2020-07-13T10:14:46"/>
    <x v="1"/>
    <x v="4"/>
    <x v="33"/>
    <x v="0"/>
    <x v="0"/>
    <s v="No"/>
    <x v="1"/>
    <x v="0"/>
    <s v="No"/>
    <x v="0"/>
    <x v="1"/>
    <x v="2"/>
    <s v="3.00 - 3.49"/>
  </r>
  <r>
    <d v="2020-07-13T10:33:47"/>
    <x v="0"/>
    <x v="0"/>
    <x v="9"/>
    <x v="0"/>
    <x v="1"/>
    <s v="No"/>
    <x v="0"/>
    <x v="1"/>
    <s v="No"/>
    <x v="1"/>
    <x v="0"/>
    <x v="0"/>
    <s v="3.50 - 4.00"/>
  </r>
  <r>
    <d v="2020-07-13T10:34:08"/>
    <x v="0"/>
    <x v="2"/>
    <x v="34"/>
    <x v="2"/>
    <x v="0"/>
    <s v="No"/>
    <x v="1"/>
    <x v="0"/>
    <s v="No"/>
    <x v="0"/>
    <x v="1"/>
    <x v="0"/>
    <s v="3.00 - 3.49"/>
  </r>
  <r>
    <d v="2020-07-13T11:46:13"/>
    <x v="0"/>
    <x v="0"/>
    <x v="9"/>
    <x v="0"/>
    <x v="1"/>
    <s v="No"/>
    <x v="0"/>
    <x v="1"/>
    <s v="Yes"/>
    <x v="0"/>
    <x v="0"/>
    <x v="0"/>
    <s v="3.50 - 4.00"/>
  </r>
  <r>
    <d v="2020-07-13T11:49:02"/>
    <x v="1"/>
    <x v="5"/>
    <x v="2"/>
    <x v="0"/>
    <x v="0"/>
    <s v="No"/>
    <x v="1"/>
    <x v="1"/>
    <s v="No"/>
    <x v="0"/>
    <x v="0"/>
    <x v="2"/>
    <s v="3.00 - 3.49"/>
  </r>
  <r>
    <d v="2020-07-13T11:54:58"/>
    <x v="1"/>
    <x v="5"/>
    <x v="0"/>
    <x v="1"/>
    <x v="3"/>
    <s v="No"/>
    <x v="1"/>
    <x v="0"/>
    <s v="Yes"/>
    <x v="0"/>
    <x v="0"/>
    <x v="2"/>
    <s v="2.00 - 2.49"/>
  </r>
  <r>
    <d v="2020-07-13T13:57:11"/>
    <x v="0"/>
    <x v="4"/>
    <x v="35"/>
    <x v="2"/>
    <x v="1"/>
    <s v="No"/>
    <x v="1"/>
    <x v="0"/>
    <s v="Yes"/>
    <x v="0"/>
    <x v="0"/>
    <x v="2"/>
    <s v="3.50 - 4.00"/>
  </r>
  <r>
    <d v="2020-07-13T14:38:12"/>
    <x v="1"/>
    <x v="0"/>
    <x v="14"/>
    <x v="1"/>
    <x v="0"/>
    <s v="No"/>
    <x v="1"/>
    <x v="1"/>
    <s v="No"/>
    <x v="0"/>
    <x v="0"/>
    <x v="0"/>
    <s v="3.00 - 3.49"/>
  </r>
  <r>
    <d v="2020-07-13T14:48:05"/>
    <x v="0"/>
    <x v="2"/>
    <x v="14"/>
    <x v="1"/>
    <x v="0"/>
    <s v="Yes"/>
    <x v="0"/>
    <x v="0"/>
    <s v="No"/>
    <x v="0"/>
    <x v="0"/>
    <x v="0"/>
    <s v="3.00 - 3.49"/>
  </r>
  <r>
    <d v="2020-07-13T16:15:13"/>
    <x v="0"/>
    <x v="0"/>
    <x v="22"/>
    <x v="0"/>
    <x v="0"/>
    <s v="No"/>
    <x v="0"/>
    <x v="0"/>
    <s v="No"/>
    <x v="0"/>
    <x v="0"/>
    <x v="0"/>
    <s v="3.00 - 3.49"/>
  </r>
  <r>
    <d v="2020-07-13T17:30:44"/>
    <x v="0"/>
    <x v="5"/>
    <x v="34"/>
    <x v="2"/>
    <x v="4"/>
    <s v="No"/>
    <x v="1"/>
    <x v="0"/>
    <s v="Yes"/>
    <x v="0"/>
    <x v="0"/>
    <x v="2"/>
    <s v="0 - 1.99"/>
  </r>
  <r>
    <d v="2020-07-13T19:08:32"/>
    <x v="0"/>
    <x v="0"/>
    <x v="1"/>
    <x v="0"/>
    <x v="1"/>
    <s v="No"/>
    <x v="1"/>
    <x v="0"/>
    <s v="No"/>
    <x v="0"/>
    <x v="1"/>
    <x v="0"/>
    <s v="3.50 - 4.00"/>
  </r>
  <r>
    <d v="2020-07-13T19:56:49"/>
    <x v="0"/>
    <x v="1"/>
    <x v="6"/>
    <x v="0"/>
    <x v="1"/>
    <s v="No"/>
    <x v="1"/>
    <x v="1"/>
    <s v="No"/>
    <x v="0"/>
    <x v="0"/>
    <x v="1"/>
    <s v="3.50 - 4.00"/>
  </r>
  <r>
    <d v="2020-07-13T21:21:42"/>
    <x v="1"/>
    <x v="0"/>
    <x v="0"/>
    <x v="1"/>
    <x v="0"/>
    <s v="No"/>
    <x v="0"/>
    <x v="1"/>
    <s v="No"/>
    <x v="0"/>
    <x v="0"/>
    <x v="0"/>
    <s v="3.00 - 3.49"/>
  </r>
  <r>
    <d v="2020-07-13T21:22:56"/>
    <x v="0"/>
    <x v="2"/>
    <x v="36"/>
    <x v="2"/>
    <x v="1"/>
    <s v="Yes"/>
    <x v="0"/>
    <x v="0"/>
    <s v="Yes"/>
    <x v="0"/>
    <x v="0"/>
    <x v="0"/>
    <s v="3.50 - 4.00"/>
  </r>
  <r>
    <d v="2020-07-13T21:23:57"/>
    <x v="0"/>
    <x v="4"/>
    <x v="5"/>
    <x v="3"/>
    <x v="1"/>
    <s v="No"/>
    <x v="1"/>
    <x v="0"/>
    <s v="No"/>
    <x v="0"/>
    <x v="1"/>
    <x v="2"/>
    <s v="3.50 - 4.00"/>
  </r>
  <r>
    <d v="2020-07-18T20:16:21"/>
    <x v="1"/>
    <x v="6"/>
    <x v="21"/>
    <x v="1"/>
    <x v="0"/>
    <s v="No"/>
    <x v="1"/>
    <x v="0"/>
    <s v="No"/>
    <x v="0"/>
    <x v="1"/>
    <x v="1"/>
    <s v="3.00 - 3.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B10F5-E4E3-4B62-9680-AEB8DB0DEA54}"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numFmtId="22" showAll="0"/>
    <pivotField showAll="0">
      <items count="3">
        <item x="0"/>
        <item x="1"/>
        <item t="default"/>
      </items>
    </pivotField>
    <pivotField showAll="0">
      <items count="8">
        <item x="0"/>
        <item x="2"/>
        <item x="6"/>
        <item x="1"/>
        <item x="3"/>
        <item x="4"/>
        <item x="5"/>
        <item t="default"/>
      </items>
    </pivotField>
    <pivotField showAll="0">
      <items count="38">
        <item h="1" x="11"/>
        <item h="1" x="20"/>
        <item h="1" x="15"/>
        <item x="6"/>
        <item x="22"/>
        <item x="21"/>
        <item x="30"/>
        <item x="2"/>
        <item x="16"/>
        <item x="31"/>
        <item x="24"/>
        <item x="32"/>
        <item x="35"/>
        <item x="25"/>
        <item x="0"/>
        <item x="12"/>
        <item x="34"/>
        <item x="7"/>
        <item x="29"/>
        <item x="8"/>
        <item x="1"/>
        <item x="23"/>
        <item x="10"/>
        <item x="17"/>
        <item x="14"/>
        <item x="28"/>
        <item x="3"/>
        <item x="27"/>
        <item x="13"/>
        <item x="4"/>
        <item x="26"/>
        <item x="36"/>
        <item x="5"/>
        <item x="9"/>
        <item x="33"/>
        <item x="19"/>
        <item x="18"/>
        <item t="default"/>
      </items>
    </pivotField>
    <pivotField showAll="0">
      <items count="5">
        <item x="0"/>
        <item x="1"/>
        <item x="2"/>
        <item x="3"/>
        <item t="default"/>
      </items>
    </pivotField>
    <pivotField showAll="0"/>
    <pivotField showAll="0"/>
    <pivotField showAll="0"/>
    <pivotField showAll="0"/>
    <pivotField showAll="0"/>
    <pivotField showAll="0"/>
    <pivotField axis="axisRow" dataField="1" showAll="0">
      <items count="3">
        <item x="1"/>
        <item x="0"/>
        <item t="default"/>
      </items>
    </pivotField>
    <pivotField showAll="0">
      <items count="4">
        <item x="0"/>
        <item x="1"/>
        <item x="2"/>
        <item t="default"/>
      </items>
    </pivotField>
    <pivotField showAll="0"/>
  </pivotFields>
  <rowFields count="1">
    <field x="11"/>
  </rowFields>
  <rowItems count="3">
    <i>
      <x/>
    </i>
    <i>
      <x v="1"/>
    </i>
    <i t="grand">
      <x/>
    </i>
  </rowItems>
  <colItems count="1">
    <i/>
  </colItems>
  <dataFields count="1">
    <dataField name="Count of Any_Issue2" fld="11" subtotal="count" baseField="0" baseItem="0"/>
  </dataField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AB2CB8-4A32-4D8D-A161-EE8C5CE52A00}"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V20" firstHeaderRow="1" firstDataRow="1" firstDataCol="0"/>
  <pivotFields count="14">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4">
    <format dxfId="0">
      <pivotArea type="all" dataOnly="0" outline="0" fieldPosition="0"/>
    </format>
    <format dxfId="1">
      <pivotArea type="all" dataOnly="0" outline="0" fieldPosition="0"/>
    </format>
    <format dxfId="2">
      <pivotArea type="all" dataOnly="0" outline="0" fieldPosition="0"/>
    </format>
    <format dxfId="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2582D-D9C9-43DC-A561-2AFB6AD9F812}" name="PivotTable2" cacheId="4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C9" firstHeaderRow="1" firstDataRow="2" firstDataCol="1"/>
  <pivotFields count="14">
    <pivotField numFmtId="22" showAll="0"/>
    <pivotField showAll="0"/>
    <pivotField showAll="0"/>
    <pivotField showAll="0">
      <items count="38">
        <item h="1" x="11"/>
        <item h="1" x="20"/>
        <item h="1" x="15"/>
        <item x="6"/>
        <item x="22"/>
        <item x="21"/>
        <item x="30"/>
        <item x="2"/>
        <item x="16"/>
        <item x="31"/>
        <item x="24"/>
        <item x="32"/>
        <item x="35"/>
        <item x="25"/>
        <item x="0"/>
        <item x="12"/>
        <item x="34"/>
        <item x="7"/>
        <item x="29"/>
        <item x="8"/>
        <item x="1"/>
        <item x="23"/>
        <item x="10"/>
        <item x="17"/>
        <item x="14"/>
        <item x="28"/>
        <item x="3"/>
        <item x="27"/>
        <item x="13"/>
        <item x="4"/>
        <item x="26"/>
        <item x="36"/>
        <item x="5"/>
        <item x="9"/>
        <item x="33"/>
        <item x="19"/>
        <item x="18"/>
        <item t="default"/>
      </items>
    </pivotField>
    <pivotField axis="axisRow" showAll="0">
      <items count="5">
        <item n="Year 1" x="0"/>
        <item x="1"/>
        <item x="2"/>
        <item x="3"/>
        <item t="default"/>
      </items>
    </pivotField>
    <pivotField showAll="0"/>
    <pivotField showAll="0"/>
    <pivotField axis="axisCol" dataField="1" showAll="0">
      <items count="3">
        <item x="1"/>
        <item x="0"/>
        <item t="default"/>
      </items>
    </pivotField>
    <pivotField showAll="0"/>
    <pivotField showAll="0"/>
    <pivotField showAll="0"/>
    <pivotField showAll="0"/>
    <pivotField showAll="0">
      <items count="4">
        <item x="0"/>
        <item x="1"/>
        <item x="2"/>
        <item t="default"/>
      </items>
    </pivotField>
    <pivotField showAll="0"/>
  </pivotFields>
  <rowFields count="1">
    <field x="4"/>
  </rowFields>
  <rowItems count="5">
    <i>
      <x/>
    </i>
    <i>
      <x v="1"/>
    </i>
    <i>
      <x v="2"/>
    </i>
    <i>
      <x v="3"/>
    </i>
    <i t="grand">
      <x/>
    </i>
  </rowItems>
  <colFields count="1">
    <field x="7"/>
  </colFields>
  <colItems count="2">
    <i>
      <x/>
    </i>
    <i>
      <x v="1"/>
    </i>
  </colItems>
  <dataFields count="1">
    <dataField name="Count of Depression" fld="7" subtotal="count" showDataAs="percentOfRow" baseField="0" baseItem="0" numFmtId="10"/>
  </dataFields>
  <chartFormats count="3">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695DD8-8C75-4C9D-96A8-00DA2E7095D8}"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31" firstHeaderRow="1" firstDataRow="1" firstDataCol="0"/>
  <pivotFields count="14">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83CD80-1067-4796-9441-FD93113C0C3F}" name="PivotTable3" cacheId="4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3:C10" firstHeaderRow="1" firstDataRow="2" firstDataCol="1"/>
  <pivotFields count="14">
    <pivotField numFmtId="22" showAll="0"/>
    <pivotField showAll="0"/>
    <pivotField showAll="0"/>
    <pivotField showAll="0">
      <items count="38">
        <item h="1" x="11"/>
        <item h="1" x="20"/>
        <item h="1" x="15"/>
        <item x="6"/>
        <item x="22"/>
        <item x="21"/>
        <item x="30"/>
        <item x="2"/>
        <item x="16"/>
        <item x="31"/>
        <item x="24"/>
        <item x="32"/>
        <item x="35"/>
        <item x="25"/>
        <item x="0"/>
        <item x="12"/>
        <item x="34"/>
        <item x="7"/>
        <item x="29"/>
        <item x="8"/>
        <item x="1"/>
        <item x="23"/>
        <item x="10"/>
        <item x="17"/>
        <item x="14"/>
        <item x="28"/>
        <item x="3"/>
        <item x="27"/>
        <item x="13"/>
        <item x="4"/>
        <item x="26"/>
        <item x="36"/>
        <item x="5"/>
        <item x="9"/>
        <item x="33"/>
        <item x="19"/>
        <item x="18"/>
        <item t="default"/>
      </items>
    </pivotField>
    <pivotField showAll="0">
      <items count="5">
        <item x="0"/>
        <item x="1"/>
        <item x="2"/>
        <item x="3"/>
        <item t="default"/>
      </items>
    </pivotField>
    <pivotField axis="axisRow" showAll="0">
      <items count="7">
        <item x="4"/>
        <item x="3"/>
        <item x="2"/>
        <item x="0"/>
        <item x="1"/>
        <item m="1" x="5"/>
        <item t="default"/>
      </items>
    </pivotField>
    <pivotField showAll="0"/>
    <pivotField showAll="0"/>
    <pivotField axis="axisCol" dataField="1" showAll="0">
      <items count="3">
        <item x="0"/>
        <item x="1"/>
        <item t="default"/>
      </items>
    </pivotField>
    <pivotField showAll="0"/>
    <pivotField showAll="0"/>
    <pivotField showAll="0"/>
    <pivotField showAll="0">
      <items count="4">
        <item x="0"/>
        <item x="1"/>
        <item x="2"/>
        <item t="default"/>
      </items>
    </pivotField>
    <pivotField showAll="0"/>
  </pivotFields>
  <rowFields count="1">
    <field x="5"/>
  </rowFields>
  <rowItems count="6">
    <i>
      <x/>
    </i>
    <i>
      <x v="1"/>
    </i>
    <i>
      <x v="2"/>
    </i>
    <i>
      <x v="3"/>
    </i>
    <i>
      <x v="4"/>
    </i>
    <i t="grand">
      <x/>
    </i>
  </rowItems>
  <colFields count="1">
    <field x="8"/>
  </colFields>
  <colItems count="2">
    <i>
      <x/>
    </i>
    <i>
      <x v="1"/>
    </i>
  </colItems>
  <dataFields count="1">
    <dataField name="Anxiety%" fld="8" subtotal="count" showDataAs="percentOfRow" baseField="0" baseItem="0" numFmtId="10"/>
  </dataFields>
  <chartFormats count="4">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3">
          <reference field="4294967294" count="1" selected="0">
            <x v="0"/>
          </reference>
          <reference field="5" count="1" selected="0">
            <x v="1"/>
          </reference>
          <reference field="8" count="1" selected="0">
            <x v="1"/>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DF9123-5375-4B8A-85EA-3EE3E071AA48}"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numFmtId="22" showAll="0"/>
    <pivotField showAll="0"/>
    <pivotField showAll="0"/>
    <pivotField showAll="0">
      <items count="38">
        <item h="1" x="11"/>
        <item h="1" x="20"/>
        <item h="1" x="15"/>
        <item x="6"/>
        <item x="22"/>
        <item x="21"/>
        <item x="30"/>
        <item x="2"/>
        <item x="16"/>
        <item x="31"/>
        <item x="24"/>
        <item x="32"/>
        <item x="35"/>
        <item x="25"/>
        <item x="0"/>
        <item x="12"/>
        <item x="34"/>
        <item x="7"/>
        <item x="29"/>
        <item x="8"/>
        <item x="1"/>
        <item x="23"/>
        <item x="10"/>
        <item x="17"/>
        <item x="14"/>
        <item x="28"/>
        <item x="3"/>
        <item x="27"/>
        <item x="13"/>
        <item x="4"/>
        <item x="26"/>
        <item x="36"/>
        <item x="5"/>
        <item x="9"/>
        <item x="33"/>
        <item x="19"/>
        <item x="18"/>
        <item t="default"/>
      </items>
    </pivotField>
    <pivotField showAll="0">
      <items count="5">
        <item x="0"/>
        <item x="1"/>
        <item x="2"/>
        <item x="3"/>
        <item t="default"/>
      </items>
    </pivotField>
    <pivotField showAll="0"/>
    <pivotField showAll="0"/>
    <pivotField showAll="0"/>
    <pivotField showAll="0"/>
    <pivotField showAll="0"/>
    <pivotField axis="axisCol" dataField="1" showAll="0">
      <items count="3">
        <item x="0"/>
        <item x="1"/>
        <item t="default"/>
      </items>
    </pivotField>
    <pivotField axis="axisRow" showAll="0">
      <items count="3">
        <item x="1"/>
        <item x="0"/>
        <item t="default"/>
      </items>
    </pivotField>
    <pivotField showAll="0">
      <items count="4">
        <item x="0"/>
        <item x="1"/>
        <item x="2"/>
        <item t="default"/>
      </items>
    </pivotField>
    <pivotField showAll="0"/>
  </pivotFields>
  <rowFields count="1">
    <field x="11"/>
  </rowFields>
  <rowItems count="3">
    <i>
      <x/>
    </i>
    <i>
      <x v="1"/>
    </i>
    <i t="grand">
      <x/>
    </i>
  </rowItems>
  <colFields count="1">
    <field x="10"/>
  </colFields>
  <colItems count="3">
    <i>
      <x/>
    </i>
    <i>
      <x v="1"/>
    </i>
    <i t="grand">
      <x/>
    </i>
  </colItems>
  <dataFields count="1">
    <dataField name="Count of Sought_treatment" fld="10" subtotal="count" showDataAs="percentOfRow" baseField="0" baseItem="0" numFmtId="10"/>
  </dataFields>
  <chartFormats count="3">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6533B38A-6A53-4BF4-A8EA-52DFC96F58B4}" sourceName="Course">
  <pivotTables>
    <pivotTable tabId="5" name="PivotTable1"/>
    <pivotTable tabId="6" name="PivotTable2"/>
    <pivotTable tabId="7" name="PivotTable3"/>
    <pivotTable tabId="9" name="PivotTable6"/>
  </pivotTables>
  <data>
    <tabular pivotCacheId="2140342098">
      <items count="37">
        <i x="11"/>
        <i x="20"/>
        <i x="15"/>
        <i x="6" s="1"/>
        <i x="22" s="1"/>
        <i x="21" s="1"/>
        <i x="30" s="1"/>
        <i x="2" s="1"/>
        <i x="16" s="1"/>
        <i x="31" s="1"/>
        <i x="24" s="1"/>
        <i x="32" s="1"/>
        <i x="35" s="1"/>
        <i x="25" s="1"/>
        <i x="0" s="1"/>
        <i x="12" s="1"/>
        <i x="34" s="1"/>
        <i x="7" s="1"/>
        <i x="29" s="1"/>
        <i x="8" s="1"/>
        <i x="1" s="1"/>
        <i x="23" s="1"/>
        <i x="10" s="1"/>
        <i x="17" s="1"/>
        <i x="14" s="1"/>
        <i x="28" s="1"/>
        <i x="3" s="1"/>
        <i x="27" s="1"/>
        <i x="13" s="1"/>
        <i x="4" s="1"/>
        <i x="26" s="1"/>
        <i x="36" s="1"/>
        <i x="5" s="1"/>
        <i x="9" s="1"/>
        <i x="33" s="1"/>
        <i x="19"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CAAF6B-B27C-4C38-9A09-A8B13D767E71}" sourceName="Year">
  <pivotTables>
    <pivotTable tabId="5" name="PivotTable1"/>
    <pivotTable tabId="6" name="PivotTable2"/>
    <pivotTable tabId="7" name="PivotTable3"/>
    <pivotTable tabId="9" name="PivotTable6"/>
  </pivotTables>
  <data>
    <tabular pivotCacheId="214034209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7E80D36-5D4E-43F9-97A9-ACB88D2AF74B}" sourceName="Age_group">
  <pivotTables>
    <pivotTable tabId="5" name="PivotTable1"/>
    <pivotTable tabId="6" name="PivotTable2"/>
    <pivotTable tabId="7" name="PivotTable3"/>
    <pivotTable tabId="9" name="PivotTable6"/>
  </pivotTables>
  <data>
    <tabular pivotCacheId="214034209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37E3E9-5F08-4C50-AC1C-90D559503F3A}" sourceName="Gender">
  <pivotTables>
    <pivotTable tabId="5" name="PivotTable1"/>
  </pivotTables>
  <data>
    <tabular pivotCacheId="21403420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F0D23824-D11A-4418-AC2A-AA8670050464}" cache="Slicer_Course" caption="Course" rowHeight="234950"/>
  <slicer name="Year" xr10:uid="{D4C76B80-16F6-45CB-980A-90A86DB29436}" cache="Slicer_Year" caption="Year" rowHeight="234950"/>
  <slicer name="Age_group" xr10:uid="{62FDF40D-1E7B-48D3-9C70-4E07FF242BE3}" cache="Slicer_Age_group" caption="Age_group" rowHeight="234950"/>
  <slicer name="Gender" xr10:uid="{96DF6AC7-F12F-454D-9727-BACF74AA64A3}"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B1A4DA-5AAC-41B8-ACCA-444CF59B6AED}" name="StudentData" displayName="StudentData" ref="A1:N102" totalsRowShown="0" headerRowDxfId="5">
  <autoFilter ref="A1:N102" xr:uid="{8F2AC484-DF1D-42EC-ACF3-CA455DC94353}"/>
  <sortState xmlns:xlrd2="http://schemas.microsoft.com/office/spreadsheetml/2017/richdata2" ref="A2:M102">
    <sortCondition ref="A1:A102"/>
  </sortState>
  <tableColumns count="14">
    <tableColumn id="1" xr3:uid="{115144F8-B2F4-4C8E-A326-876558E99C26}" name="Timestamp" dataDxfId="6"/>
    <tableColumn id="2" xr3:uid="{68FFC898-E9EC-4F92-9826-D10354239B82}" name="Gender"/>
    <tableColumn id="3" xr3:uid="{AC3795FA-0FAF-4ED2-9CF0-405B62B626E1}" name="Age"/>
    <tableColumn id="4" xr3:uid="{86789509-3366-488E-977B-CDB8C32EEC22}" name="Course"/>
    <tableColumn id="5" xr3:uid="{1F209F89-5EB4-4288-BE4E-DD59A1CFB75C}" name="Year"/>
    <tableColumn id="6" xr3:uid="{53D9C01B-39F6-4A3B-980C-B126E83534C9}" name="CGPA_Range"/>
    <tableColumn id="7" xr3:uid="{257171D4-9F53-4407-BD33-3BAE3FA8E3EB}" name="Marital_status"/>
    <tableColumn id="8" xr3:uid="{7EE49447-83A4-4AA2-9EFF-312405BDB72E}" name="Depression"/>
    <tableColumn id="9" xr3:uid="{583FDFEC-4BEC-43E1-8CBA-D2FD53D6019C}" name="Anxiety"/>
    <tableColumn id="10" xr3:uid="{E4BB84A8-8A90-4C7E-A1C4-E1D3B88DA249}" name="Panic_attack"/>
    <tableColumn id="11" xr3:uid="{4456E4C6-0A9E-42D5-8206-E07C56128258}" name="Sought_treatment"/>
    <tableColumn id="12" xr3:uid="{832BF666-9FF7-40A9-88E3-B54D17407CCE}" name="Any_Issue">
      <calculatedColumnFormula>IF(OR(H2="Yes",I2="Yes",J2="Yes"),"Yes","No")</calculatedColumnFormula>
    </tableColumn>
    <tableColumn id="13" xr3:uid="{697CCD2E-B0E7-4797-83A7-ED466BB78108}" name="Age_group">
      <calculatedColumnFormula>IF(C2&lt;=19,"18-19",IF(C2&lt;=21,"20-21","22+"))</calculatedColumnFormula>
    </tableColumn>
    <tableColumn id="14" xr3:uid="{E1F71B63-C122-48AD-85E4-B86FAD70E2C5}" name="CGPA_Trim" dataDxfId="4">
      <calculatedColumnFormula>TRIM(StudentData[[#This Row],[CGPA_Range]])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D55C-0C00-4625-B627-9237CFCEBDC7}">
  <dimension ref="A1:AD2"/>
  <sheetViews>
    <sheetView showGridLines="0" tabSelected="1" workbookViewId="0">
      <selection activeCell="R28" sqref="R28"/>
    </sheetView>
  </sheetViews>
  <sheetFormatPr defaultRowHeight="14.4" x14ac:dyDescent="0.3"/>
  <cols>
    <col min="1" max="13" width="8.88671875" style="17"/>
    <col min="14" max="30" width="8.88671875" style="27"/>
  </cols>
  <sheetData>
    <row r="1" spans="1:1" ht="51" customHeight="1" x14ac:dyDescent="0.7">
      <c r="A1" s="16" t="s">
        <v>97</v>
      </c>
    </row>
    <row r="2" spans="1:1" ht="15.6" x14ac:dyDescent="0.3">
      <c r="A2" s="28" t="s">
        <v>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F76D-CD99-4E88-99A3-4AEE14F7E20A}">
  <dimension ref="A2:B9"/>
  <sheetViews>
    <sheetView workbookViewId="0">
      <selection activeCell="D14" sqref="D14"/>
    </sheetView>
  </sheetViews>
  <sheetFormatPr defaultRowHeight="14.4" x14ac:dyDescent="0.3"/>
  <cols>
    <col min="2" max="2" width="57.21875" customWidth="1"/>
  </cols>
  <sheetData>
    <row r="2" spans="1:2" x14ac:dyDescent="0.3">
      <c r="A2" s="29" t="s">
        <v>127</v>
      </c>
      <c r="B2" s="29" t="s">
        <v>128</v>
      </c>
    </row>
    <row r="3" spans="1:2" ht="28.8" x14ac:dyDescent="0.3">
      <c r="A3" s="31">
        <v>1</v>
      </c>
      <c r="B3" s="30" t="s">
        <v>120</v>
      </c>
    </row>
    <row r="4" spans="1:2" ht="43.2" x14ac:dyDescent="0.3">
      <c r="A4" s="31">
        <v>2</v>
      </c>
      <c r="B4" s="30" t="s">
        <v>121</v>
      </c>
    </row>
    <row r="5" spans="1:2" ht="28.8" x14ac:dyDescent="0.3">
      <c r="A5" s="31">
        <v>3</v>
      </c>
      <c r="B5" s="30" t="s">
        <v>122</v>
      </c>
    </row>
    <row r="6" spans="1:2" ht="43.2" x14ac:dyDescent="0.3">
      <c r="A6" s="31">
        <v>4</v>
      </c>
      <c r="B6" s="30" t="s">
        <v>123</v>
      </c>
    </row>
    <row r="7" spans="1:2" ht="28.8" x14ac:dyDescent="0.3">
      <c r="A7" s="31">
        <v>5</v>
      </c>
      <c r="B7" s="30" t="s">
        <v>124</v>
      </c>
    </row>
    <row r="8" spans="1:2" ht="43.2" x14ac:dyDescent="0.3">
      <c r="A8" s="31">
        <v>6</v>
      </c>
      <c r="B8" s="31" t="s">
        <v>125</v>
      </c>
    </row>
    <row r="9" spans="1:2" ht="43.2" x14ac:dyDescent="0.3">
      <c r="A9" s="31">
        <v>7</v>
      </c>
      <c r="B9" s="31"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DEA17-6451-4564-897B-93C9C5AC3439}">
  <dimension ref="A3:C12"/>
  <sheetViews>
    <sheetView workbookViewId="0">
      <selection activeCell="C6" sqref="C6"/>
    </sheetView>
  </sheetViews>
  <sheetFormatPr defaultRowHeight="14.4" x14ac:dyDescent="0.3"/>
  <cols>
    <col min="1" max="1" width="8.33203125" customWidth="1"/>
    <col min="2" max="2" width="34.33203125" customWidth="1"/>
    <col min="3" max="3" width="65.5546875" customWidth="1"/>
  </cols>
  <sheetData>
    <row r="3" spans="1:3" x14ac:dyDescent="0.3">
      <c r="A3" s="29" t="s">
        <v>99</v>
      </c>
      <c r="B3" s="29" t="s">
        <v>100</v>
      </c>
      <c r="C3" s="29" t="s">
        <v>101</v>
      </c>
    </row>
    <row r="4" spans="1:3" x14ac:dyDescent="0.3">
      <c r="A4" s="31">
        <v>1</v>
      </c>
      <c r="B4" s="30" t="s">
        <v>102</v>
      </c>
      <c r="C4" s="30" t="s">
        <v>103</v>
      </c>
    </row>
    <row r="5" spans="1:3" x14ac:dyDescent="0.3">
      <c r="A5" s="31">
        <v>2</v>
      </c>
      <c r="B5" s="30" t="s">
        <v>104</v>
      </c>
      <c r="C5" s="30" t="s">
        <v>105</v>
      </c>
    </row>
    <row r="6" spans="1:3" ht="28.8" x14ac:dyDescent="0.3">
      <c r="A6" s="31">
        <v>3</v>
      </c>
      <c r="B6" s="30" t="s">
        <v>106</v>
      </c>
      <c r="C6" s="30" t="s">
        <v>107</v>
      </c>
    </row>
    <row r="7" spans="1:3" x14ac:dyDescent="0.3">
      <c r="A7" s="31">
        <v>4</v>
      </c>
      <c r="B7" s="30" t="s">
        <v>108</v>
      </c>
      <c r="C7" s="30" t="s">
        <v>109</v>
      </c>
    </row>
    <row r="8" spans="1:3" ht="28.8" x14ac:dyDescent="0.3">
      <c r="A8" s="31">
        <v>5</v>
      </c>
      <c r="B8" s="30" t="s">
        <v>110</v>
      </c>
      <c r="C8" s="30" t="s">
        <v>111</v>
      </c>
    </row>
    <row r="9" spans="1:3" ht="28.8" x14ac:dyDescent="0.3">
      <c r="A9" s="31">
        <v>6</v>
      </c>
      <c r="B9" s="30" t="s">
        <v>112</v>
      </c>
      <c r="C9" s="30" t="s">
        <v>113</v>
      </c>
    </row>
    <row r="10" spans="1:3" ht="43.2" x14ac:dyDescent="0.3">
      <c r="A10" s="31">
        <v>7</v>
      </c>
      <c r="B10" s="30" t="s">
        <v>114</v>
      </c>
      <c r="C10" s="30" t="s">
        <v>115</v>
      </c>
    </row>
    <row r="11" spans="1:3" ht="28.8" x14ac:dyDescent="0.3">
      <c r="A11" s="31">
        <v>8</v>
      </c>
      <c r="B11" s="30" t="s">
        <v>116</v>
      </c>
      <c r="C11" s="30" t="s">
        <v>117</v>
      </c>
    </row>
    <row r="12" spans="1:3" x14ac:dyDescent="0.3">
      <c r="A12" s="31">
        <v>9</v>
      </c>
      <c r="B12" s="30" t="s">
        <v>118</v>
      </c>
      <c r="C12" s="30"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C484-DF1D-42EC-ACF3-CA455DC94353}">
  <dimension ref="A1:N102"/>
  <sheetViews>
    <sheetView workbookViewId="0">
      <pane ySplit="1" topLeftCell="A2" activePane="bottomLeft" state="frozen"/>
      <selection pane="bottomLeft" activeCell="F2" sqref="F2"/>
    </sheetView>
  </sheetViews>
  <sheetFormatPr defaultRowHeight="14.4" x14ac:dyDescent="0.3"/>
  <cols>
    <col min="1" max="1" width="15.44140625" bestFit="1" customWidth="1"/>
    <col min="2" max="2" width="9" customWidth="1"/>
    <col min="3" max="3" width="6.109375" customWidth="1"/>
    <col min="4" max="4" width="20.44140625" bestFit="1" customWidth="1"/>
    <col min="5" max="5" width="6.5546875" customWidth="1"/>
    <col min="6" max="6" width="13.77734375" customWidth="1"/>
    <col min="7" max="7" width="14.88671875" customWidth="1"/>
    <col min="8" max="8" width="12.109375" customWidth="1"/>
    <col min="9" max="9" width="9.21875" customWidth="1"/>
    <col min="10" max="10" width="13.6640625" customWidth="1"/>
    <col min="11" max="11" width="18.33203125" customWidth="1"/>
    <col min="12" max="12" width="11.44140625" customWidth="1"/>
    <col min="13" max="13" width="12.44140625" bestFit="1" customWidth="1"/>
    <col min="14" max="14" width="12.6640625" bestFit="1" customWidth="1"/>
  </cols>
  <sheetData>
    <row r="1" spans="1:14" s="2" customFormat="1" x14ac:dyDescent="0.3">
      <c r="A1" s="2" t="s">
        <v>0</v>
      </c>
      <c r="B1" s="2" t="s">
        <v>77</v>
      </c>
      <c r="C1" s="2" t="s">
        <v>2</v>
      </c>
      <c r="D1" s="2" t="s">
        <v>86</v>
      </c>
      <c r="E1" s="2" t="s">
        <v>78</v>
      </c>
      <c r="F1" s="2" t="s">
        <v>79</v>
      </c>
      <c r="G1" s="2" t="s">
        <v>80</v>
      </c>
      <c r="H1" s="2" t="s">
        <v>81</v>
      </c>
      <c r="I1" s="2" t="s">
        <v>82</v>
      </c>
      <c r="J1" s="2" t="s">
        <v>83</v>
      </c>
      <c r="K1" s="2" t="s">
        <v>84</v>
      </c>
      <c r="L1" s="2" t="s">
        <v>87</v>
      </c>
      <c r="M1" s="2" t="s">
        <v>88</v>
      </c>
      <c r="N1" s="2" t="s">
        <v>95</v>
      </c>
    </row>
    <row r="2" spans="1:14" x14ac:dyDescent="0.3">
      <c r="A2" s="1">
        <v>44020.501388888886</v>
      </c>
      <c r="B2" t="s">
        <v>11</v>
      </c>
      <c r="C2">
        <v>18</v>
      </c>
      <c r="D2" t="s">
        <v>12</v>
      </c>
      <c r="E2" t="s">
        <v>21</v>
      </c>
      <c r="F2" t="s">
        <v>14</v>
      </c>
      <c r="G2" t="s">
        <v>15</v>
      </c>
      <c r="H2" t="s">
        <v>16</v>
      </c>
      <c r="I2" t="s">
        <v>15</v>
      </c>
      <c r="J2" t="s">
        <v>16</v>
      </c>
      <c r="K2" t="s">
        <v>15</v>
      </c>
      <c r="L2" t="str">
        <f>IF(OR(H2="Yes",I2="Yes",J2="Yes"),"Yes","No")</f>
        <v>Yes</v>
      </c>
      <c r="M2" t="str">
        <f>IF(C2&lt;=19,"18-19",IF(C2&lt;=21,"20-21","22+"))</f>
        <v>18-19</v>
      </c>
      <c r="N2" t="str">
        <f>TRIM(StudentData[[#This Row],[CGPA_Range]])</f>
        <v>3.00 - 3.49</v>
      </c>
    </row>
    <row r="3" spans="1:14" x14ac:dyDescent="0.3">
      <c r="A3" s="1">
        <v>44020.50277777778</v>
      </c>
      <c r="B3" t="s">
        <v>17</v>
      </c>
      <c r="C3">
        <v>21</v>
      </c>
      <c r="D3" t="s">
        <v>74</v>
      </c>
      <c r="E3" t="s">
        <v>26</v>
      </c>
      <c r="F3" t="s">
        <v>14</v>
      </c>
      <c r="G3" t="s">
        <v>15</v>
      </c>
      <c r="H3" t="s">
        <v>15</v>
      </c>
      <c r="I3" t="s">
        <v>16</v>
      </c>
      <c r="J3" t="s">
        <v>15</v>
      </c>
      <c r="K3" t="s">
        <v>15</v>
      </c>
      <c r="L3" t="str">
        <f t="shared" ref="L3:L66" si="0">IF(OR(H3="Yes",I3="Yes",J3="Yes"),"Yes","No")</f>
        <v>Yes</v>
      </c>
      <c r="M3" t="str">
        <f t="shared" ref="M3:M66" si="1">IF(C3&lt;=19,"18-19",IF(C3&lt;=21,"20-21","22+"))</f>
        <v>20-21</v>
      </c>
      <c r="N3" t="str">
        <f>TRIM(StudentData[[#This Row],[CGPA_Range]])</f>
        <v>3.00 - 3.49</v>
      </c>
    </row>
    <row r="4" spans="1:14" x14ac:dyDescent="0.3">
      <c r="A4" s="1">
        <v>44020.503472222219</v>
      </c>
      <c r="B4" t="s">
        <v>17</v>
      </c>
      <c r="C4">
        <v>19</v>
      </c>
      <c r="D4" t="s">
        <v>20</v>
      </c>
      <c r="E4" t="s">
        <v>21</v>
      </c>
      <c r="F4" t="s">
        <v>14</v>
      </c>
      <c r="G4" t="s">
        <v>15</v>
      </c>
      <c r="H4" t="s">
        <v>16</v>
      </c>
      <c r="I4" t="s">
        <v>16</v>
      </c>
      <c r="J4" t="s">
        <v>16</v>
      </c>
      <c r="K4" t="s">
        <v>15</v>
      </c>
      <c r="L4" t="str">
        <f t="shared" si="0"/>
        <v>Yes</v>
      </c>
      <c r="M4" t="str">
        <f t="shared" si="1"/>
        <v>18-19</v>
      </c>
      <c r="N4" t="str">
        <f>TRIM(StudentData[[#This Row],[CGPA_Range]])</f>
        <v>3.00 - 3.49</v>
      </c>
    </row>
    <row r="5" spans="1:14" x14ac:dyDescent="0.3">
      <c r="A5" s="1">
        <v>44020.504166666666</v>
      </c>
      <c r="B5" t="s">
        <v>11</v>
      </c>
      <c r="C5">
        <v>22</v>
      </c>
      <c r="D5" t="s">
        <v>44</v>
      </c>
      <c r="E5" t="s">
        <v>35</v>
      </c>
      <c r="F5" t="s">
        <v>14</v>
      </c>
      <c r="G5" t="s">
        <v>16</v>
      </c>
      <c r="H5" t="s">
        <v>16</v>
      </c>
      <c r="I5" t="s">
        <v>15</v>
      </c>
      <c r="J5" t="s">
        <v>15</v>
      </c>
      <c r="K5" t="s">
        <v>15</v>
      </c>
      <c r="L5" t="str">
        <f t="shared" si="0"/>
        <v>Yes</v>
      </c>
      <c r="M5" t="str">
        <f t="shared" si="1"/>
        <v>22+</v>
      </c>
      <c r="N5" t="str">
        <f>TRIM(StudentData[[#This Row],[CGPA_Range]])</f>
        <v>3.00 - 3.49</v>
      </c>
    </row>
    <row r="6" spans="1:14" x14ac:dyDescent="0.3">
      <c r="A6" s="1">
        <v>44020.509027777778</v>
      </c>
      <c r="B6" t="s">
        <v>17</v>
      </c>
      <c r="C6">
        <v>23</v>
      </c>
      <c r="D6" t="s">
        <v>24</v>
      </c>
      <c r="E6" t="s">
        <v>85</v>
      </c>
      <c r="F6" t="s">
        <v>14</v>
      </c>
      <c r="G6" t="s">
        <v>15</v>
      </c>
      <c r="H6" t="s">
        <v>15</v>
      </c>
      <c r="I6" t="s">
        <v>15</v>
      </c>
      <c r="J6" t="s">
        <v>15</v>
      </c>
      <c r="K6" t="s">
        <v>15</v>
      </c>
      <c r="L6" t="str">
        <f t="shared" si="0"/>
        <v>No</v>
      </c>
      <c r="M6" t="str">
        <f t="shared" si="1"/>
        <v>22+</v>
      </c>
      <c r="N6" t="str">
        <f>TRIM(StudentData[[#This Row],[CGPA_Range]])</f>
        <v>3.00 - 3.49</v>
      </c>
    </row>
    <row r="7" spans="1:14" x14ac:dyDescent="0.3">
      <c r="A7" s="1">
        <v>44020.521527777775</v>
      </c>
      <c r="B7" t="s">
        <v>17</v>
      </c>
      <c r="C7">
        <v>19</v>
      </c>
      <c r="D7" t="s">
        <v>12</v>
      </c>
      <c r="E7" t="s">
        <v>26</v>
      </c>
      <c r="F7" t="s">
        <v>27</v>
      </c>
      <c r="G7" t="s">
        <v>15</v>
      </c>
      <c r="H7" t="s">
        <v>15</v>
      </c>
      <c r="I7" t="s">
        <v>15</v>
      </c>
      <c r="J7" t="s">
        <v>16</v>
      </c>
      <c r="K7" t="s">
        <v>15</v>
      </c>
      <c r="L7" t="str">
        <f t="shared" si="0"/>
        <v>Yes</v>
      </c>
      <c r="M7" t="str">
        <f t="shared" si="1"/>
        <v>18-19</v>
      </c>
      <c r="N7" t="str">
        <f>TRIM(StudentData[[#This Row],[CGPA_Range]])</f>
        <v>3.50 - 4.00</v>
      </c>
    </row>
    <row r="8" spans="1:14" x14ac:dyDescent="0.3">
      <c r="A8" s="1">
        <v>44020.522222222222</v>
      </c>
      <c r="B8" t="s">
        <v>11</v>
      </c>
      <c r="C8">
        <v>23</v>
      </c>
      <c r="D8" t="s">
        <v>67</v>
      </c>
      <c r="E8" t="s">
        <v>26</v>
      </c>
      <c r="F8" t="s">
        <v>27</v>
      </c>
      <c r="G8" t="s">
        <v>16</v>
      </c>
      <c r="H8" t="s">
        <v>16</v>
      </c>
      <c r="I8" t="s">
        <v>15</v>
      </c>
      <c r="J8" t="s">
        <v>16</v>
      </c>
      <c r="K8" t="s">
        <v>15</v>
      </c>
      <c r="L8" t="str">
        <f t="shared" si="0"/>
        <v>Yes</v>
      </c>
      <c r="M8" t="str">
        <f t="shared" si="1"/>
        <v>22+</v>
      </c>
      <c r="N8" t="str">
        <f>TRIM(StudentData[[#This Row],[CGPA_Range]])</f>
        <v>3.50 - 4.00</v>
      </c>
    </row>
    <row r="9" spans="1:14" x14ac:dyDescent="0.3">
      <c r="A9" s="1">
        <v>44020.522916666669</v>
      </c>
      <c r="B9" t="s">
        <v>11</v>
      </c>
      <c r="C9">
        <v>18</v>
      </c>
      <c r="D9" t="s">
        <v>30</v>
      </c>
      <c r="E9" t="s">
        <v>21</v>
      </c>
      <c r="F9" t="s">
        <v>27</v>
      </c>
      <c r="G9" t="s">
        <v>15</v>
      </c>
      <c r="H9" t="s">
        <v>15</v>
      </c>
      <c r="I9" t="s">
        <v>16</v>
      </c>
      <c r="J9" t="s">
        <v>15</v>
      </c>
      <c r="K9" t="s">
        <v>15</v>
      </c>
      <c r="L9" t="str">
        <f t="shared" si="0"/>
        <v>Yes</v>
      </c>
      <c r="M9" t="str">
        <f t="shared" si="1"/>
        <v>18-19</v>
      </c>
      <c r="N9" t="str">
        <f>TRIM(StudentData[[#This Row],[CGPA_Range]])</f>
        <v>3.50 - 4.00</v>
      </c>
    </row>
    <row r="10" spans="1:14" x14ac:dyDescent="0.3">
      <c r="A10" s="1">
        <v>44020.524305555555</v>
      </c>
      <c r="B10" t="s">
        <v>11</v>
      </c>
      <c r="C10">
        <v>19</v>
      </c>
      <c r="D10" t="s">
        <v>31</v>
      </c>
      <c r="E10" t="s">
        <v>26</v>
      </c>
      <c r="F10" t="s">
        <v>32</v>
      </c>
      <c r="G10" t="s">
        <v>15</v>
      </c>
      <c r="H10" t="s">
        <v>15</v>
      </c>
      <c r="I10" t="s">
        <v>15</v>
      </c>
      <c r="J10" t="s">
        <v>15</v>
      </c>
      <c r="K10" t="s">
        <v>15</v>
      </c>
      <c r="L10" t="str">
        <f t="shared" si="0"/>
        <v>No</v>
      </c>
      <c r="M10" t="str">
        <f t="shared" si="1"/>
        <v>18-19</v>
      </c>
      <c r="N10" t="str">
        <f>TRIM(StudentData[[#This Row],[CGPA_Range]])</f>
        <v>2.50 - 2.99</v>
      </c>
    </row>
    <row r="11" spans="1:14" x14ac:dyDescent="0.3">
      <c r="A11" s="1">
        <v>44020.527083333334</v>
      </c>
      <c r="B11" t="s">
        <v>11</v>
      </c>
      <c r="C11">
        <v>24</v>
      </c>
      <c r="D11" t="s">
        <v>12</v>
      </c>
      <c r="E11" t="s">
        <v>35</v>
      </c>
      <c r="F11" t="s">
        <v>27</v>
      </c>
      <c r="G11" t="s">
        <v>16</v>
      </c>
      <c r="H11" t="s">
        <v>16</v>
      </c>
      <c r="I11" t="s">
        <v>15</v>
      </c>
      <c r="J11" t="s">
        <v>15</v>
      </c>
      <c r="K11" t="s">
        <v>15</v>
      </c>
      <c r="L11" t="str">
        <f t="shared" si="0"/>
        <v>Yes</v>
      </c>
      <c r="M11" t="str">
        <f t="shared" si="1"/>
        <v>22+</v>
      </c>
      <c r="N11" t="str">
        <f>TRIM(StudentData[[#This Row],[CGPA_Range]])</f>
        <v>3.50 - 4.00</v>
      </c>
    </row>
    <row r="12" spans="1:14" x14ac:dyDescent="0.3">
      <c r="A12" s="1">
        <v>44020.527083333334</v>
      </c>
      <c r="B12" t="s">
        <v>17</v>
      </c>
      <c r="C12">
        <v>18</v>
      </c>
      <c r="D12" t="s">
        <v>33</v>
      </c>
      <c r="E12" t="s">
        <v>21</v>
      </c>
      <c r="F12" t="s">
        <v>27</v>
      </c>
      <c r="G12" t="s">
        <v>15</v>
      </c>
      <c r="H12" t="s">
        <v>15</v>
      </c>
      <c r="I12" t="s">
        <v>16</v>
      </c>
      <c r="J12" t="s">
        <v>16</v>
      </c>
      <c r="K12" t="s">
        <v>15</v>
      </c>
      <c r="L12" t="str">
        <f t="shared" si="0"/>
        <v>Yes</v>
      </c>
      <c r="M12" t="str">
        <f t="shared" si="1"/>
        <v>18-19</v>
      </c>
      <c r="N12" t="str">
        <f>TRIM(StudentData[[#This Row],[CGPA_Range]])</f>
        <v>3.50 - 4.00</v>
      </c>
    </row>
    <row r="13" spans="1:14" x14ac:dyDescent="0.3">
      <c r="A13" s="1">
        <v>44020.527083333334</v>
      </c>
      <c r="B13" t="s">
        <v>11</v>
      </c>
      <c r="C13">
        <v>20</v>
      </c>
      <c r="D13" t="s">
        <v>34</v>
      </c>
      <c r="E13" t="s">
        <v>21</v>
      </c>
      <c r="F13" t="s">
        <v>27</v>
      </c>
      <c r="G13" t="s">
        <v>15</v>
      </c>
      <c r="H13" t="s">
        <v>15</v>
      </c>
      <c r="I13" t="s">
        <v>15</v>
      </c>
      <c r="J13" t="s">
        <v>15</v>
      </c>
      <c r="K13" t="s">
        <v>15</v>
      </c>
      <c r="L13" t="str">
        <f t="shared" si="0"/>
        <v>No</v>
      </c>
      <c r="M13" t="str">
        <f t="shared" si="1"/>
        <v>20-21</v>
      </c>
      <c r="N13" t="str">
        <f>TRIM(StudentData[[#This Row],[CGPA_Range]])</f>
        <v>3.50 - 4.00</v>
      </c>
    </row>
    <row r="14" spans="1:14" x14ac:dyDescent="0.3">
      <c r="A14" s="1">
        <v>44020.527777777781</v>
      </c>
      <c r="B14" t="s">
        <v>11</v>
      </c>
      <c r="C14">
        <v>18</v>
      </c>
      <c r="D14" t="s">
        <v>30</v>
      </c>
      <c r="E14" t="s">
        <v>21</v>
      </c>
      <c r="F14" t="s">
        <v>14</v>
      </c>
      <c r="G14" t="s">
        <v>15</v>
      </c>
      <c r="H14" t="s">
        <v>16</v>
      </c>
      <c r="I14" t="s">
        <v>15</v>
      </c>
      <c r="J14" t="s">
        <v>15</v>
      </c>
      <c r="K14" t="s">
        <v>15</v>
      </c>
      <c r="L14" t="str">
        <f t="shared" si="0"/>
        <v>Yes</v>
      </c>
      <c r="M14" t="str">
        <f t="shared" si="1"/>
        <v>18-19</v>
      </c>
      <c r="N14" t="str">
        <f>TRIM(StudentData[[#This Row],[CGPA_Range]])</f>
        <v>3.00 - 3.49</v>
      </c>
    </row>
    <row r="15" spans="1:14" x14ac:dyDescent="0.3">
      <c r="A15" s="1">
        <v>44020.52847222222</v>
      </c>
      <c r="B15" t="s">
        <v>17</v>
      </c>
      <c r="C15">
        <v>19</v>
      </c>
      <c r="D15" t="s">
        <v>12</v>
      </c>
      <c r="E15" t="s">
        <v>21</v>
      </c>
      <c r="F15" t="s">
        <v>14</v>
      </c>
      <c r="G15" t="s">
        <v>15</v>
      </c>
      <c r="H15" t="s">
        <v>15</v>
      </c>
      <c r="I15" t="s">
        <v>15</v>
      </c>
      <c r="J15" t="s">
        <v>15</v>
      </c>
      <c r="K15" t="s">
        <v>15</v>
      </c>
      <c r="L15" t="str">
        <f t="shared" si="0"/>
        <v>No</v>
      </c>
      <c r="M15" t="str">
        <f t="shared" si="1"/>
        <v>18-19</v>
      </c>
      <c r="N15" t="str">
        <f>TRIM(StudentData[[#This Row],[CGPA_Range]])</f>
        <v>3.00 - 3.49</v>
      </c>
    </row>
    <row r="16" spans="1:14" x14ac:dyDescent="0.3">
      <c r="A16" s="1">
        <v>44020.529861111114</v>
      </c>
      <c r="B16" t="s">
        <v>17</v>
      </c>
      <c r="C16">
        <v>24</v>
      </c>
      <c r="D16" t="s">
        <v>30</v>
      </c>
      <c r="E16" t="s">
        <v>35</v>
      </c>
      <c r="F16" t="s">
        <v>27</v>
      </c>
      <c r="G16" t="s">
        <v>15</v>
      </c>
      <c r="H16" t="s">
        <v>15</v>
      </c>
      <c r="I16" t="s">
        <v>15</v>
      </c>
      <c r="J16" t="s">
        <v>15</v>
      </c>
      <c r="K16" t="s">
        <v>15</v>
      </c>
      <c r="L16" t="str">
        <f t="shared" si="0"/>
        <v>No</v>
      </c>
      <c r="M16" t="str">
        <f t="shared" si="1"/>
        <v>22+</v>
      </c>
      <c r="N16" t="str">
        <f>TRIM(StudentData[[#This Row],[CGPA_Range]])</f>
        <v>3.50 - 4.00</v>
      </c>
    </row>
    <row r="17" spans="1:14" x14ac:dyDescent="0.3">
      <c r="A17" s="1">
        <v>44020.529861111114</v>
      </c>
      <c r="B17" t="s">
        <v>11</v>
      </c>
      <c r="C17">
        <v>18</v>
      </c>
      <c r="D17" t="s">
        <v>36</v>
      </c>
      <c r="E17" t="s">
        <v>26</v>
      </c>
      <c r="F17" t="s">
        <v>27</v>
      </c>
      <c r="G17" t="s">
        <v>15</v>
      </c>
      <c r="H17" t="s">
        <v>15</v>
      </c>
      <c r="I17" t="s">
        <v>16</v>
      </c>
      <c r="J17" t="s">
        <v>15</v>
      </c>
      <c r="K17" t="s">
        <v>15</v>
      </c>
      <c r="L17" t="str">
        <f t="shared" si="0"/>
        <v>Yes</v>
      </c>
      <c r="M17" t="str">
        <f t="shared" si="1"/>
        <v>18-19</v>
      </c>
      <c r="N17" t="str">
        <f>TRIM(StudentData[[#This Row],[CGPA_Range]])</f>
        <v>3.50 - 4.00</v>
      </c>
    </row>
    <row r="18" spans="1:14" x14ac:dyDescent="0.3">
      <c r="A18" s="1">
        <v>44020.531944444447</v>
      </c>
      <c r="B18" t="s">
        <v>11</v>
      </c>
      <c r="C18">
        <v>24</v>
      </c>
      <c r="D18" t="s">
        <v>37</v>
      </c>
      <c r="E18" t="s">
        <v>35</v>
      </c>
      <c r="F18" t="s">
        <v>14</v>
      </c>
      <c r="G18" t="s">
        <v>15</v>
      </c>
      <c r="H18" t="s">
        <v>15</v>
      </c>
      <c r="I18" t="s">
        <v>15</v>
      </c>
      <c r="J18" t="s">
        <v>15</v>
      </c>
      <c r="K18" t="s">
        <v>15</v>
      </c>
      <c r="L18" t="str">
        <f t="shared" si="0"/>
        <v>No</v>
      </c>
      <c r="M18" t="str">
        <f t="shared" si="1"/>
        <v>22+</v>
      </c>
      <c r="N18" t="str">
        <f>TRIM(StudentData[[#This Row],[CGPA_Range]])</f>
        <v>3.00 - 3.49</v>
      </c>
    </row>
    <row r="19" spans="1:14" x14ac:dyDescent="0.3">
      <c r="A19" s="1">
        <v>44020.536111111112</v>
      </c>
      <c r="B19" t="s">
        <v>11</v>
      </c>
      <c r="C19">
        <v>24</v>
      </c>
      <c r="D19" t="s">
        <v>38</v>
      </c>
      <c r="E19" t="s">
        <v>85</v>
      </c>
      <c r="F19" t="s">
        <v>14</v>
      </c>
      <c r="G19" t="s">
        <v>16</v>
      </c>
      <c r="H19" t="s">
        <v>16</v>
      </c>
      <c r="I19" t="s">
        <v>16</v>
      </c>
      <c r="J19" t="s">
        <v>16</v>
      </c>
      <c r="K19" t="s">
        <v>15</v>
      </c>
      <c r="L19" t="str">
        <f t="shared" si="0"/>
        <v>Yes</v>
      </c>
      <c r="M19" t="str">
        <f t="shared" si="1"/>
        <v>22+</v>
      </c>
      <c r="N19" t="str">
        <f>TRIM(StudentData[[#This Row],[CGPA_Range]])</f>
        <v>3.00 - 3.49</v>
      </c>
    </row>
    <row r="20" spans="1:14" x14ac:dyDescent="0.3">
      <c r="A20" s="1">
        <v>44020.545138888891</v>
      </c>
      <c r="B20" t="s">
        <v>11</v>
      </c>
      <c r="C20">
        <v>20</v>
      </c>
      <c r="D20" t="s">
        <v>20</v>
      </c>
      <c r="E20" t="s">
        <v>26</v>
      </c>
      <c r="F20" t="s">
        <v>27</v>
      </c>
      <c r="G20" t="s">
        <v>15</v>
      </c>
      <c r="H20" t="s">
        <v>15</v>
      </c>
      <c r="I20" t="s">
        <v>16</v>
      </c>
      <c r="J20" t="s">
        <v>15</v>
      </c>
      <c r="K20" t="s">
        <v>15</v>
      </c>
      <c r="L20" t="str">
        <f t="shared" si="0"/>
        <v>Yes</v>
      </c>
      <c r="M20" t="str">
        <f t="shared" si="1"/>
        <v>20-21</v>
      </c>
      <c r="N20" t="str">
        <f>TRIM(StudentData[[#This Row],[CGPA_Range]])</f>
        <v>3.50 - 4.00</v>
      </c>
    </row>
    <row r="21" spans="1:14" x14ac:dyDescent="0.3">
      <c r="A21" s="1">
        <v>44020.546527777777</v>
      </c>
      <c r="B21" t="s">
        <v>11</v>
      </c>
      <c r="C21">
        <v>18</v>
      </c>
      <c r="D21" t="s">
        <v>39</v>
      </c>
      <c r="E21" t="s">
        <v>26</v>
      </c>
      <c r="F21" t="s">
        <v>27</v>
      </c>
      <c r="G21" t="s">
        <v>16</v>
      </c>
      <c r="H21" t="s">
        <v>16</v>
      </c>
      <c r="I21" t="s">
        <v>16</v>
      </c>
      <c r="J21" t="s">
        <v>16</v>
      </c>
      <c r="K21" t="s">
        <v>15</v>
      </c>
      <c r="L21" t="str">
        <f t="shared" si="0"/>
        <v>Yes</v>
      </c>
      <c r="M21" t="str">
        <f t="shared" si="1"/>
        <v>18-19</v>
      </c>
      <c r="N21" t="str">
        <f>TRIM(StudentData[[#This Row],[CGPA_Range]])</f>
        <v>3.50 - 4.00</v>
      </c>
    </row>
    <row r="22" spans="1:14" x14ac:dyDescent="0.3">
      <c r="A22" s="1">
        <v>44020.55</v>
      </c>
      <c r="B22" t="s">
        <v>11</v>
      </c>
      <c r="C22">
        <v>19</v>
      </c>
      <c r="D22" t="s">
        <v>12</v>
      </c>
      <c r="E22" t="s">
        <v>21</v>
      </c>
      <c r="F22" t="s">
        <v>14</v>
      </c>
      <c r="G22" t="s">
        <v>15</v>
      </c>
      <c r="H22" t="s">
        <v>15</v>
      </c>
      <c r="I22" t="s">
        <v>15</v>
      </c>
      <c r="J22" t="s">
        <v>16</v>
      </c>
      <c r="K22" t="s">
        <v>15</v>
      </c>
      <c r="L22" t="str">
        <f t="shared" si="0"/>
        <v>Yes</v>
      </c>
      <c r="M22" t="str">
        <f t="shared" si="1"/>
        <v>18-19</v>
      </c>
      <c r="N22" t="str">
        <f>TRIM(StudentData[[#This Row],[CGPA_Range]])</f>
        <v>3.00 - 3.49</v>
      </c>
    </row>
    <row r="23" spans="1:14" x14ac:dyDescent="0.3">
      <c r="A23" s="1">
        <v>44020.550694444442</v>
      </c>
      <c r="B23" t="s">
        <v>11</v>
      </c>
      <c r="C23">
        <v>24</v>
      </c>
      <c r="D23" t="s">
        <v>30</v>
      </c>
      <c r="E23" t="s">
        <v>21</v>
      </c>
      <c r="F23" t="s">
        <v>27</v>
      </c>
      <c r="G23" t="s">
        <v>15</v>
      </c>
      <c r="H23" t="s">
        <v>15</v>
      </c>
      <c r="I23" t="s">
        <v>15</v>
      </c>
      <c r="J23" t="s">
        <v>15</v>
      </c>
      <c r="K23" t="s">
        <v>15</v>
      </c>
      <c r="L23" t="str">
        <f t="shared" si="0"/>
        <v>No</v>
      </c>
      <c r="M23" t="str">
        <f t="shared" si="1"/>
        <v>22+</v>
      </c>
      <c r="N23" t="str">
        <f>TRIM(StudentData[[#This Row],[CGPA_Range]])</f>
        <v>3.50 - 4.00</v>
      </c>
    </row>
    <row r="24" spans="1:14" x14ac:dyDescent="0.3">
      <c r="A24" s="1">
        <v>44020.550694444442</v>
      </c>
      <c r="B24" t="s">
        <v>11</v>
      </c>
      <c r="C24">
        <v>18</v>
      </c>
      <c r="D24" t="s">
        <v>40</v>
      </c>
      <c r="E24" t="s">
        <v>26</v>
      </c>
      <c r="F24" t="s">
        <v>14</v>
      </c>
      <c r="G24" t="s">
        <v>15</v>
      </c>
      <c r="H24" t="s">
        <v>15</v>
      </c>
      <c r="I24" t="s">
        <v>15</v>
      </c>
      <c r="J24" t="s">
        <v>15</v>
      </c>
      <c r="K24" t="s">
        <v>15</v>
      </c>
      <c r="L24" t="str">
        <f t="shared" si="0"/>
        <v>No</v>
      </c>
      <c r="M24" t="str">
        <f t="shared" si="1"/>
        <v>18-19</v>
      </c>
      <c r="N24" t="str">
        <f>TRIM(StudentData[[#This Row],[CGPA_Range]])</f>
        <v>3.00 - 3.49</v>
      </c>
    </row>
    <row r="25" spans="1:14" x14ac:dyDescent="0.3">
      <c r="A25" s="1">
        <v>44020.552083333336</v>
      </c>
      <c r="B25" t="s">
        <v>11</v>
      </c>
      <c r="C25">
        <v>24</v>
      </c>
      <c r="D25" t="s">
        <v>12</v>
      </c>
      <c r="E25" t="s">
        <v>21</v>
      </c>
      <c r="F25" t="s">
        <v>14</v>
      </c>
      <c r="G25" t="s">
        <v>15</v>
      </c>
      <c r="H25" t="s">
        <v>15</v>
      </c>
      <c r="I25" t="s">
        <v>15</v>
      </c>
      <c r="J25" t="s">
        <v>15</v>
      </c>
      <c r="K25" t="s">
        <v>15</v>
      </c>
      <c r="L25" t="str">
        <f t="shared" si="0"/>
        <v>No</v>
      </c>
      <c r="M25" t="str">
        <f t="shared" si="1"/>
        <v>22+</v>
      </c>
      <c r="N25" t="str">
        <f>TRIM(StudentData[[#This Row],[CGPA_Range]])</f>
        <v>3.00 - 3.49</v>
      </c>
    </row>
    <row r="26" spans="1:14" x14ac:dyDescent="0.3">
      <c r="A26" s="1">
        <v>44020.553472222222</v>
      </c>
      <c r="B26" t="s">
        <v>11</v>
      </c>
      <c r="C26">
        <v>23</v>
      </c>
      <c r="D26" t="s">
        <v>30</v>
      </c>
      <c r="E26" t="s">
        <v>35</v>
      </c>
      <c r="F26" t="s">
        <v>27</v>
      </c>
      <c r="G26" t="s">
        <v>15</v>
      </c>
      <c r="H26" t="s">
        <v>16</v>
      </c>
      <c r="I26" t="s">
        <v>16</v>
      </c>
      <c r="J26" t="s">
        <v>16</v>
      </c>
      <c r="K26" t="s">
        <v>15</v>
      </c>
      <c r="L26" t="str">
        <f t="shared" si="0"/>
        <v>Yes</v>
      </c>
      <c r="M26" t="str">
        <f t="shared" si="1"/>
        <v>22+</v>
      </c>
      <c r="N26" t="str">
        <f>TRIM(StudentData[[#This Row],[CGPA_Range]])</f>
        <v>3.50 - 4.00</v>
      </c>
    </row>
    <row r="27" spans="1:14" x14ac:dyDescent="0.3">
      <c r="A27" s="1">
        <v>44020.561805555553</v>
      </c>
      <c r="B27" t="s">
        <v>11</v>
      </c>
      <c r="C27">
        <v>18</v>
      </c>
      <c r="D27" t="s">
        <v>41</v>
      </c>
      <c r="E27" t="s">
        <v>21</v>
      </c>
      <c r="F27" t="s">
        <v>27</v>
      </c>
      <c r="G27" t="s">
        <v>15</v>
      </c>
      <c r="H27" t="s">
        <v>15</v>
      </c>
      <c r="I27" t="s">
        <v>15</v>
      </c>
      <c r="J27" t="s">
        <v>15</v>
      </c>
      <c r="K27" t="s">
        <v>15</v>
      </c>
      <c r="L27" t="str">
        <f t="shared" si="0"/>
        <v>No</v>
      </c>
      <c r="M27" t="str">
        <f t="shared" si="1"/>
        <v>18-19</v>
      </c>
      <c r="N27" t="str">
        <f>TRIM(StudentData[[#This Row],[CGPA_Range]])</f>
        <v>3.50 - 4.00</v>
      </c>
    </row>
    <row r="28" spans="1:14" x14ac:dyDescent="0.3">
      <c r="A28" s="1">
        <v>44020.565972222219</v>
      </c>
      <c r="B28" t="s">
        <v>11</v>
      </c>
      <c r="C28">
        <v>19</v>
      </c>
      <c r="D28" t="s">
        <v>12</v>
      </c>
      <c r="E28" t="s">
        <v>21</v>
      </c>
      <c r="F28" t="s">
        <v>27</v>
      </c>
      <c r="G28" t="s">
        <v>15</v>
      </c>
      <c r="H28" t="s">
        <v>15</v>
      </c>
      <c r="I28" t="s">
        <v>15</v>
      </c>
      <c r="J28" t="s">
        <v>15</v>
      </c>
      <c r="K28" t="s">
        <v>15</v>
      </c>
      <c r="L28" t="str">
        <f t="shared" si="0"/>
        <v>No</v>
      </c>
      <c r="M28" t="str">
        <f t="shared" si="1"/>
        <v>18-19</v>
      </c>
      <c r="N28" t="str">
        <f>TRIM(StudentData[[#This Row],[CGPA_Range]])</f>
        <v>3.50 - 4.00</v>
      </c>
    </row>
    <row r="29" spans="1:14" x14ac:dyDescent="0.3">
      <c r="A29" s="1">
        <v>44020.570138888892</v>
      </c>
      <c r="B29" t="s">
        <v>17</v>
      </c>
      <c r="C29">
        <v>18</v>
      </c>
      <c r="D29" t="s">
        <v>12</v>
      </c>
      <c r="E29" t="s">
        <v>26</v>
      </c>
      <c r="F29" t="s">
        <v>14</v>
      </c>
      <c r="G29" t="s">
        <v>16</v>
      </c>
      <c r="H29" t="s">
        <v>16</v>
      </c>
      <c r="I29" t="s">
        <v>16</v>
      </c>
      <c r="J29" t="s">
        <v>15</v>
      </c>
      <c r="K29" t="s">
        <v>15</v>
      </c>
      <c r="L29" t="str">
        <f t="shared" si="0"/>
        <v>Yes</v>
      </c>
      <c r="M29" t="str">
        <f t="shared" si="1"/>
        <v>18-19</v>
      </c>
      <c r="N29" t="str">
        <f>TRIM(StudentData[[#This Row],[CGPA_Range]])</f>
        <v>3.00 - 3.49</v>
      </c>
    </row>
    <row r="30" spans="1:14" x14ac:dyDescent="0.3">
      <c r="A30" s="1">
        <v>44020.581944444442</v>
      </c>
      <c r="B30" t="s">
        <v>11</v>
      </c>
      <c r="C30">
        <v>24</v>
      </c>
      <c r="D30" t="s">
        <v>20</v>
      </c>
      <c r="E30" t="s">
        <v>35</v>
      </c>
      <c r="F30" t="s">
        <v>27</v>
      </c>
      <c r="G30" t="s">
        <v>16</v>
      </c>
      <c r="H30" t="s">
        <v>16</v>
      </c>
      <c r="I30" t="s">
        <v>16</v>
      </c>
      <c r="J30" t="s">
        <v>16</v>
      </c>
      <c r="K30" t="s">
        <v>16</v>
      </c>
      <c r="L30" t="str">
        <f t="shared" si="0"/>
        <v>Yes</v>
      </c>
      <c r="M30" t="str">
        <f t="shared" si="1"/>
        <v>22+</v>
      </c>
      <c r="N30" t="str">
        <f>TRIM(StudentData[[#This Row],[CGPA_Range]])</f>
        <v>3.50 - 4.00</v>
      </c>
    </row>
    <row r="31" spans="1:14" x14ac:dyDescent="0.3">
      <c r="A31" s="1">
        <v>44020.586805555555</v>
      </c>
      <c r="B31" t="s">
        <v>11</v>
      </c>
      <c r="C31">
        <v>24</v>
      </c>
      <c r="D31" t="s">
        <v>30</v>
      </c>
      <c r="E31" t="s">
        <v>85</v>
      </c>
      <c r="F31" t="s">
        <v>27</v>
      </c>
      <c r="G31" t="s">
        <v>15</v>
      </c>
      <c r="H31" t="s">
        <v>15</v>
      </c>
      <c r="I31" t="s">
        <v>15</v>
      </c>
      <c r="J31" t="s">
        <v>15</v>
      </c>
      <c r="K31" t="s">
        <v>15</v>
      </c>
      <c r="L31" t="str">
        <f t="shared" si="0"/>
        <v>No</v>
      </c>
      <c r="M31" t="str">
        <f t="shared" si="1"/>
        <v>22+</v>
      </c>
      <c r="N31" t="str">
        <f>TRIM(StudentData[[#This Row],[CGPA_Range]])</f>
        <v>3.50 - 4.00</v>
      </c>
    </row>
    <row r="32" spans="1:14" x14ac:dyDescent="0.3">
      <c r="A32" s="1">
        <v>44020.602083333331</v>
      </c>
      <c r="B32" t="s">
        <v>11</v>
      </c>
      <c r="C32">
        <v>23</v>
      </c>
      <c r="D32" t="s">
        <v>42</v>
      </c>
      <c r="E32" t="s">
        <v>26</v>
      </c>
      <c r="F32" t="s">
        <v>14</v>
      </c>
      <c r="G32" t="s">
        <v>15</v>
      </c>
      <c r="H32" t="s">
        <v>15</v>
      </c>
      <c r="I32" t="s">
        <v>15</v>
      </c>
      <c r="J32" t="s">
        <v>15</v>
      </c>
      <c r="K32" t="s">
        <v>15</v>
      </c>
      <c r="L32" t="str">
        <f t="shared" si="0"/>
        <v>No</v>
      </c>
      <c r="M32" t="str">
        <f t="shared" si="1"/>
        <v>22+</v>
      </c>
      <c r="N32" t="str">
        <f>TRIM(StudentData[[#This Row],[CGPA_Range]])</f>
        <v>3.00 - 3.49</v>
      </c>
    </row>
    <row r="33" spans="1:14" x14ac:dyDescent="0.3">
      <c r="A33" s="1">
        <v>44020.603472222225</v>
      </c>
      <c r="B33" t="s">
        <v>17</v>
      </c>
      <c r="C33">
        <v>18</v>
      </c>
      <c r="D33" t="s">
        <v>30</v>
      </c>
      <c r="E33" t="s">
        <v>26</v>
      </c>
      <c r="F33" t="s">
        <v>14</v>
      </c>
      <c r="G33" t="s">
        <v>15</v>
      </c>
      <c r="H33" t="s">
        <v>15</v>
      </c>
      <c r="I33" t="s">
        <v>15</v>
      </c>
      <c r="J33" t="s">
        <v>15</v>
      </c>
      <c r="K33" t="s">
        <v>15</v>
      </c>
      <c r="L33" t="str">
        <f t="shared" si="0"/>
        <v>No</v>
      </c>
      <c r="M33" t="str">
        <f t="shared" si="1"/>
        <v>18-19</v>
      </c>
      <c r="N33" t="str">
        <f>TRIM(StudentData[[#This Row],[CGPA_Range]])</f>
        <v>3.00 - 3.49</v>
      </c>
    </row>
    <row r="34" spans="1:14" x14ac:dyDescent="0.3">
      <c r="A34" s="1">
        <v>44020.603472222225</v>
      </c>
      <c r="B34" t="s">
        <v>17</v>
      </c>
      <c r="C34">
        <v>19</v>
      </c>
      <c r="D34" t="s">
        <v>30</v>
      </c>
      <c r="E34" t="s">
        <v>21</v>
      </c>
      <c r="F34" t="s">
        <v>27</v>
      </c>
      <c r="G34" t="s">
        <v>15</v>
      </c>
      <c r="H34" t="s">
        <v>15</v>
      </c>
      <c r="I34" t="s">
        <v>15</v>
      </c>
      <c r="J34" t="s">
        <v>16</v>
      </c>
      <c r="K34" t="s">
        <v>15</v>
      </c>
      <c r="L34" t="str">
        <f t="shared" si="0"/>
        <v>Yes</v>
      </c>
      <c r="M34" t="str">
        <f t="shared" si="1"/>
        <v>18-19</v>
      </c>
      <c r="N34" t="str">
        <f>TRIM(StudentData[[#This Row],[CGPA_Range]])</f>
        <v>3.50 - 4.00</v>
      </c>
    </row>
    <row r="35" spans="1:14" x14ac:dyDescent="0.3">
      <c r="A35" s="1">
        <v>44020.604861111111</v>
      </c>
      <c r="B35" t="s">
        <v>17</v>
      </c>
      <c r="C35">
        <v>18</v>
      </c>
      <c r="D35" t="s">
        <v>30</v>
      </c>
      <c r="E35" t="s">
        <v>26</v>
      </c>
      <c r="F35" t="s">
        <v>27</v>
      </c>
      <c r="G35" t="s">
        <v>16</v>
      </c>
      <c r="H35" t="s">
        <v>16</v>
      </c>
      <c r="I35" t="s">
        <v>16</v>
      </c>
      <c r="J35" t="s">
        <v>15</v>
      </c>
      <c r="K35" t="s">
        <v>16</v>
      </c>
      <c r="L35" t="str">
        <f t="shared" si="0"/>
        <v>Yes</v>
      </c>
      <c r="M35" t="str">
        <f t="shared" si="1"/>
        <v>18-19</v>
      </c>
      <c r="N35" t="str">
        <f>TRIM(StudentData[[#This Row],[CGPA_Range]])</f>
        <v>3.50 - 4.00</v>
      </c>
    </row>
    <row r="36" spans="1:14" x14ac:dyDescent="0.3">
      <c r="A36" s="1">
        <v>44020.611805555556</v>
      </c>
      <c r="B36" t="s">
        <v>11</v>
      </c>
      <c r="C36">
        <v>19</v>
      </c>
      <c r="D36" t="s">
        <v>20</v>
      </c>
      <c r="E36" t="s">
        <v>21</v>
      </c>
      <c r="F36" t="s">
        <v>14</v>
      </c>
      <c r="G36" t="s">
        <v>15</v>
      </c>
      <c r="H36" t="s">
        <v>16</v>
      </c>
      <c r="I36" t="s">
        <v>16</v>
      </c>
      <c r="J36" t="s">
        <v>16</v>
      </c>
      <c r="K36" t="s">
        <v>15</v>
      </c>
      <c r="L36" t="str">
        <f t="shared" si="0"/>
        <v>Yes</v>
      </c>
      <c r="M36" t="str">
        <f t="shared" si="1"/>
        <v>18-19</v>
      </c>
      <c r="N36" t="str">
        <f>TRIM(StudentData[[#This Row],[CGPA_Range]])</f>
        <v>3.00 - 3.49</v>
      </c>
    </row>
    <row r="37" spans="1:14" x14ac:dyDescent="0.3">
      <c r="A37" s="1">
        <v>44020.613194444442</v>
      </c>
      <c r="B37" t="s">
        <v>11</v>
      </c>
      <c r="C37">
        <v>18</v>
      </c>
      <c r="D37" t="s">
        <v>12</v>
      </c>
      <c r="E37" t="s">
        <v>21</v>
      </c>
      <c r="F37" t="s">
        <v>43</v>
      </c>
      <c r="G37" t="s">
        <v>15</v>
      </c>
      <c r="H37" t="s">
        <v>15</v>
      </c>
      <c r="I37" t="s">
        <v>15</v>
      </c>
      <c r="J37" t="s">
        <v>15</v>
      </c>
      <c r="K37" t="s">
        <v>15</v>
      </c>
      <c r="L37" t="str">
        <f t="shared" si="0"/>
        <v>No</v>
      </c>
      <c r="M37" t="str">
        <f t="shared" si="1"/>
        <v>18-19</v>
      </c>
      <c r="N37" t="str">
        <f>TRIM(StudentData[[#This Row],[CGPA_Range]])</f>
        <v>2.00 - 2.49</v>
      </c>
    </row>
    <row r="38" spans="1:14" x14ac:dyDescent="0.3">
      <c r="A38" s="1">
        <v>44020.613194444442</v>
      </c>
      <c r="B38" t="s">
        <v>11</v>
      </c>
      <c r="C38">
        <v>18</v>
      </c>
      <c r="D38" t="s">
        <v>44</v>
      </c>
      <c r="E38" t="s">
        <v>35</v>
      </c>
      <c r="F38" t="s">
        <v>14</v>
      </c>
      <c r="G38" t="s">
        <v>15</v>
      </c>
      <c r="H38" t="s">
        <v>16</v>
      </c>
      <c r="I38" t="s">
        <v>16</v>
      </c>
      <c r="J38" t="s">
        <v>15</v>
      </c>
      <c r="K38" t="s">
        <v>15</v>
      </c>
      <c r="L38" t="str">
        <f t="shared" si="0"/>
        <v>Yes</v>
      </c>
      <c r="M38" t="str">
        <f t="shared" si="1"/>
        <v>18-19</v>
      </c>
      <c r="N38" t="str">
        <f>TRIM(StudentData[[#This Row],[CGPA_Range]])</f>
        <v>3.00 - 3.49</v>
      </c>
    </row>
    <row r="39" spans="1:14" x14ac:dyDescent="0.3">
      <c r="A39" s="1">
        <v>44020.614583333336</v>
      </c>
      <c r="B39" t="s">
        <v>11</v>
      </c>
      <c r="C39">
        <v>19</v>
      </c>
      <c r="D39" t="s">
        <v>20</v>
      </c>
      <c r="E39" t="s">
        <v>21</v>
      </c>
      <c r="F39" t="s">
        <v>32</v>
      </c>
      <c r="G39" t="s">
        <v>15</v>
      </c>
      <c r="H39" t="s">
        <v>16</v>
      </c>
      <c r="I39" t="s">
        <v>16</v>
      </c>
      <c r="J39" t="s">
        <v>16</v>
      </c>
      <c r="K39" t="s">
        <v>15</v>
      </c>
      <c r="L39" t="str">
        <f t="shared" si="0"/>
        <v>Yes</v>
      </c>
      <c r="M39" t="str">
        <f t="shared" si="1"/>
        <v>18-19</v>
      </c>
      <c r="N39" t="str">
        <f>TRIM(StudentData[[#This Row],[CGPA_Range]])</f>
        <v>2.50 - 2.99</v>
      </c>
    </row>
    <row r="40" spans="1:14" x14ac:dyDescent="0.3">
      <c r="A40" s="1">
        <v>44020.615972222222</v>
      </c>
      <c r="B40" t="s">
        <v>11</v>
      </c>
      <c r="C40">
        <v>18</v>
      </c>
      <c r="D40" t="s">
        <v>45</v>
      </c>
      <c r="E40" t="s">
        <v>21</v>
      </c>
      <c r="F40" t="s">
        <v>27</v>
      </c>
      <c r="G40" t="s">
        <v>15</v>
      </c>
      <c r="H40" t="s">
        <v>15</v>
      </c>
      <c r="I40" t="s">
        <v>15</v>
      </c>
      <c r="J40" t="s">
        <v>15</v>
      </c>
      <c r="K40" t="s">
        <v>15</v>
      </c>
      <c r="L40" t="str">
        <f t="shared" si="0"/>
        <v>No</v>
      </c>
      <c r="M40" t="str">
        <f t="shared" si="1"/>
        <v>18-19</v>
      </c>
      <c r="N40" t="str">
        <f>TRIM(StudentData[[#This Row],[CGPA_Range]])</f>
        <v>3.50 - 4.00</v>
      </c>
    </row>
    <row r="41" spans="1:14" x14ac:dyDescent="0.3">
      <c r="A41" s="1">
        <v>44020.62222222222</v>
      </c>
      <c r="B41" t="s">
        <v>11</v>
      </c>
      <c r="C41">
        <v>24</v>
      </c>
      <c r="D41" t="s">
        <v>12</v>
      </c>
      <c r="E41" t="s">
        <v>26</v>
      </c>
      <c r="F41" t="s">
        <v>32</v>
      </c>
      <c r="G41" t="s">
        <v>16</v>
      </c>
      <c r="H41" t="s">
        <v>16</v>
      </c>
      <c r="I41" t="s">
        <v>15</v>
      </c>
      <c r="J41" t="s">
        <v>16</v>
      </c>
      <c r="K41" t="s">
        <v>16</v>
      </c>
      <c r="L41" t="str">
        <f t="shared" si="0"/>
        <v>Yes</v>
      </c>
      <c r="M41" t="str">
        <f t="shared" si="1"/>
        <v>22+</v>
      </c>
      <c r="N41" t="str">
        <f>TRIM(StudentData[[#This Row],[CGPA_Range]])</f>
        <v>2.50 - 2.99</v>
      </c>
    </row>
    <row r="42" spans="1:14" x14ac:dyDescent="0.3">
      <c r="A42" s="1">
        <v>44020.622916666667</v>
      </c>
      <c r="B42" t="s">
        <v>11</v>
      </c>
      <c r="C42">
        <v>24</v>
      </c>
      <c r="D42" t="s">
        <v>20</v>
      </c>
      <c r="E42" t="s">
        <v>35</v>
      </c>
      <c r="F42" t="s">
        <v>14</v>
      </c>
      <c r="G42" t="s">
        <v>15</v>
      </c>
      <c r="H42" t="s">
        <v>15</v>
      </c>
      <c r="I42" t="s">
        <v>16</v>
      </c>
      <c r="J42" t="s">
        <v>15</v>
      </c>
      <c r="K42" t="s">
        <v>15</v>
      </c>
      <c r="L42" t="str">
        <f t="shared" si="0"/>
        <v>Yes</v>
      </c>
      <c r="M42" t="str">
        <f t="shared" si="1"/>
        <v>22+</v>
      </c>
      <c r="N42" t="str">
        <f>TRIM(StudentData[[#This Row],[CGPA_Range]])</f>
        <v>3.00 - 3.49</v>
      </c>
    </row>
    <row r="43" spans="1:14" x14ac:dyDescent="0.3">
      <c r="A43" s="1">
        <v>44020.622916666667</v>
      </c>
      <c r="B43" t="s">
        <v>11</v>
      </c>
      <c r="C43">
        <v>22</v>
      </c>
      <c r="D43" t="s">
        <v>12</v>
      </c>
      <c r="E43" t="s">
        <v>85</v>
      </c>
      <c r="F43" t="s">
        <v>27</v>
      </c>
      <c r="G43" t="s">
        <v>15</v>
      </c>
      <c r="H43" t="s">
        <v>15</v>
      </c>
      <c r="I43" t="s">
        <v>15</v>
      </c>
      <c r="J43" t="s">
        <v>15</v>
      </c>
      <c r="K43" t="s">
        <v>15</v>
      </c>
      <c r="L43" t="str">
        <f t="shared" si="0"/>
        <v>No</v>
      </c>
      <c r="M43" t="str">
        <f t="shared" si="1"/>
        <v>22+</v>
      </c>
      <c r="N43" t="str">
        <f>TRIM(StudentData[[#This Row],[CGPA_Range]])</f>
        <v>3.50 - 4.00</v>
      </c>
    </row>
    <row r="44" spans="1:14" x14ac:dyDescent="0.3">
      <c r="A44" s="1">
        <v>44020.623611111114</v>
      </c>
      <c r="B44" t="s">
        <v>11</v>
      </c>
      <c r="C44">
        <v>20</v>
      </c>
      <c r="D44" t="s">
        <v>46</v>
      </c>
      <c r="E44" t="s">
        <v>26</v>
      </c>
      <c r="F44" t="s">
        <v>14</v>
      </c>
      <c r="G44" t="s">
        <v>15</v>
      </c>
      <c r="H44" t="s">
        <v>16</v>
      </c>
      <c r="I44" t="s">
        <v>15</v>
      </c>
      <c r="J44" t="s">
        <v>15</v>
      </c>
      <c r="K44" t="s">
        <v>15</v>
      </c>
      <c r="L44" t="str">
        <f t="shared" si="0"/>
        <v>Yes</v>
      </c>
      <c r="M44" t="str">
        <f t="shared" si="1"/>
        <v>20-21</v>
      </c>
      <c r="N44" t="str">
        <f>TRIM(StudentData[[#This Row],[CGPA_Range]])</f>
        <v>3.00 - 3.49</v>
      </c>
    </row>
    <row r="45" spans="1:14" x14ac:dyDescent="0.3">
      <c r="A45" s="1">
        <v>44020.629861111112</v>
      </c>
      <c r="B45" t="s">
        <v>17</v>
      </c>
      <c r="C45">
        <v>21</v>
      </c>
      <c r="D45" t="s">
        <v>20</v>
      </c>
      <c r="E45" t="s">
        <v>21</v>
      </c>
      <c r="F45" t="s">
        <v>47</v>
      </c>
      <c r="G45" t="s">
        <v>15</v>
      </c>
      <c r="H45" t="s">
        <v>15</v>
      </c>
      <c r="I45" t="s">
        <v>15</v>
      </c>
      <c r="J45" t="s">
        <v>15</v>
      </c>
      <c r="K45" t="s">
        <v>15</v>
      </c>
      <c r="L45" t="str">
        <f t="shared" si="0"/>
        <v>No</v>
      </c>
      <c r="M45" t="str">
        <f t="shared" si="1"/>
        <v>20-21</v>
      </c>
      <c r="N45" t="str">
        <f>TRIM(StudentData[[#This Row],[CGPA_Range]])</f>
        <v>0 - 1.99</v>
      </c>
    </row>
    <row r="46" spans="1:14" x14ac:dyDescent="0.3">
      <c r="A46" s="1">
        <v>44020.630555555559</v>
      </c>
      <c r="B46" t="s">
        <v>17</v>
      </c>
      <c r="C46">
        <v>23</v>
      </c>
      <c r="D46" t="s">
        <v>48</v>
      </c>
      <c r="E46" t="s">
        <v>26</v>
      </c>
      <c r="F46" t="s">
        <v>27</v>
      </c>
      <c r="G46" t="s">
        <v>15</v>
      </c>
      <c r="H46" t="s">
        <v>15</v>
      </c>
      <c r="I46" t="s">
        <v>15</v>
      </c>
      <c r="J46" t="s">
        <v>16</v>
      </c>
      <c r="K46" t="s">
        <v>15</v>
      </c>
      <c r="L46" t="str">
        <f t="shared" si="0"/>
        <v>Yes</v>
      </c>
      <c r="M46" t="str">
        <f t="shared" si="1"/>
        <v>22+</v>
      </c>
      <c r="N46" t="str">
        <f>TRIM(StudentData[[#This Row],[CGPA_Range]])</f>
        <v>3.50 - 4.00</v>
      </c>
    </row>
    <row r="47" spans="1:14" x14ac:dyDescent="0.3">
      <c r="A47" s="1">
        <v>44020.631249999999</v>
      </c>
      <c r="B47" t="s">
        <v>17</v>
      </c>
      <c r="C47">
        <v>18</v>
      </c>
      <c r="D47" t="s">
        <v>30</v>
      </c>
      <c r="E47" t="s">
        <v>21</v>
      </c>
      <c r="F47" t="s">
        <v>27</v>
      </c>
      <c r="G47" t="s">
        <v>15</v>
      </c>
      <c r="H47" t="s">
        <v>15</v>
      </c>
      <c r="I47" t="s">
        <v>16</v>
      </c>
      <c r="J47" t="s">
        <v>16</v>
      </c>
      <c r="K47" t="s">
        <v>15</v>
      </c>
      <c r="L47" t="str">
        <f t="shared" si="0"/>
        <v>Yes</v>
      </c>
      <c r="M47" t="str">
        <f t="shared" si="1"/>
        <v>18-19</v>
      </c>
      <c r="N47" t="str">
        <f>TRIM(StudentData[[#This Row],[CGPA_Range]])</f>
        <v>3.50 - 4.00</v>
      </c>
    </row>
    <row r="48" spans="1:14" x14ac:dyDescent="0.3">
      <c r="A48" s="1">
        <v>44020.633333333331</v>
      </c>
      <c r="B48" t="s">
        <v>11</v>
      </c>
      <c r="C48">
        <v>19</v>
      </c>
      <c r="D48" t="s">
        <v>12</v>
      </c>
      <c r="E48" t="s">
        <v>21</v>
      </c>
      <c r="F48" t="s">
        <v>27</v>
      </c>
      <c r="G48" t="s">
        <v>15</v>
      </c>
      <c r="H48" t="s">
        <v>15</v>
      </c>
      <c r="I48" t="s">
        <v>16</v>
      </c>
      <c r="J48" t="s">
        <v>15</v>
      </c>
      <c r="K48" t="s">
        <v>15</v>
      </c>
      <c r="L48" t="str">
        <f t="shared" si="0"/>
        <v>Yes</v>
      </c>
      <c r="M48" t="str">
        <f t="shared" si="1"/>
        <v>18-19</v>
      </c>
      <c r="N48" t="str">
        <f>TRIM(StudentData[[#This Row],[CGPA_Range]])</f>
        <v>3.50 - 4.00</v>
      </c>
    </row>
    <row r="49" spans="1:14" x14ac:dyDescent="0.3">
      <c r="A49" s="1">
        <v>44020.634722222225</v>
      </c>
      <c r="B49" t="s">
        <v>17</v>
      </c>
      <c r="C49">
        <v>24</v>
      </c>
      <c r="D49" t="s">
        <v>30</v>
      </c>
      <c r="E49" t="s">
        <v>26</v>
      </c>
      <c r="F49" t="s">
        <v>14</v>
      </c>
      <c r="G49" t="s">
        <v>15</v>
      </c>
      <c r="H49" t="s">
        <v>16</v>
      </c>
      <c r="I49" t="s">
        <v>15</v>
      </c>
      <c r="J49" t="s">
        <v>15</v>
      </c>
      <c r="K49" t="s">
        <v>15</v>
      </c>
      <c r="L49" t="str">
        <f t="shared" si="0"/>
        <v>Yes</v>
      </c>
      <c r="M49" t="str">
        <f t="shared" si="1"/>
        <v>22+</v>
      </c>
      <c r="N49" t="str">
        <f>TRIM(StudentData[[#This Row],[CGPA_Range]])</f>
        <v>3.00 - 3.49</v>
      </c>
    </row>
    <row r="50" spans="1:14" x14ac:dyDescent="0.3">
      <c r="A50" s="1">
        <v>44020.634722222225</v>
      </c>
      <c r="B50" t="s">
        <v>11</v>
      </c>
      <c r="C50">
        <v>18</v>
      </c>
      <c r="D50" t="s">
        <v>12</v>
      </c>
      <c r="E50" t="s">
        <v>85</v>
      </c>
      <c r="F50" t="s">
        <v>27</v>
      </c>
      <c r="G50" t="s">
        <v>15</v>
      </c>
      <c r="H50" t="s">
        <v>15</v>
      </c>
      <c r="I50" t="s">
        <v>15</v>
      </c>
      <c r="J50" t="s">
        <v>15</v>
      </c>
      <c r="K50" t="s">
        <v>15</v>
      </c>
      <c r="L50" t="str">
        <f t="shared" si="0"/>
        <v>No</v>
      </c>
      <c r="M50" t="str">
        <f t="shared" si="1"/>
        <v>18-19</v>
      </c>
      <c r="N50" t="str">
        <f>TRIM(StudentData[[#This Row],[CGPA_Range]])</f>
        <v>3.50 - 4.00</v>
      </c>
    </row>
    <row r="51" spans="1:14" x14ac:dyDescent="0.3">
      <c r="A51" s="1">
        <v>44020.637499999997</v>
      </c>
      <c r="B51" t="s">
        <v>11</v>
      </c>
      <c r="C51">
        <v>24</v>
      </c>
      <c r="D51" t="s">
        <v>30</v>
      </c>
      <c r="E51" t="s">
        <v>35</v>
      </c>
      <c r="F51" t="s">
        <v>27</v>
      </c>
      <c r="G51" t="s">
        <v>15</v>
      </c>
      <c r="H51" t="s">
        <v>15</v>
      </c>
      <c r="I51" t="s">
        <v>15</v>
      </c>
      <c r="J51" t="s">
        <v>16</v>
      </c>
      <c r="K51" t="s">
        <v>15</v>
      </c>
      <c r="L51" t="str">
        <f t="shared" si="0"/>
        <v>Yes</v>
      </c>
      <c r="M51" t="str">
        <f t="shared" si="1"/>
        <v>22+</v>
      </c>
      <c r="N51" t="str">
        <f>TRIM(StudentData[[#This Row],[CGPA_Range]])</f>
        <v>3.50 - 4.00</v>
      </c>
    </row>
    <row r="52" spans="1:14" x14ac:dyDescent="0.3">
      <c r="A52" s="1">
        <v>44020.643750000003</v>
      </c>
      <c r="B52" t="s">
        <v>11</v>
      </c>
      <c r="C52">
        <v>23</v>
      </c>
      <c r="D52" t="s">
        <v>50</v>
      </c>
      <c r="E52" t="s">
        <v>21</v>
      </c>
      <c r="F52" t="s">
        <v>32</v>
      </c>
      <c r="G52" t="s">
        <v>16</v>
      </c>
      <c r="H52" t="s">
        <v>16</v>
      </c>
      <c r="I52" t="s">
        <v>15</v>
      </c>
      <c r="J52" t="s">
        <v>16</v>
      </c>
      <c r="K52" t="s">
        <v>16</v>
      </c>
      <c r="L52" t="str">
        <f t="shared" si="0"/>
        <v>Yes</v>
      </c>
      <c r="M52" t="str">
        <f t="shared" si="1"/>
        <v>22+</v>
      </c>
      <c r="N52" t="str">
        <f>TRIM(StudentData[[#This Row],[CGPA_Range]])</f>
        <v>2.50 - 2.99</v>
      </c>
    </row>
    <row r="53" spans="1:14" x14ac:dyDescent="0.3">
      <c r="A53" s="1">
        <v>44020.650694444441</v>
      </c>
      <c r="B53" t="s">
        <v>11</v>
      </c>
      <c r="C53">
        <v>18</v>
      </c>
      <c r="D53" t="s">
        <v>30</v>
      </c>
      <c r="E53" t="s">
        <v>26</v>
      </c>
      <c r="F53" t="s">
        <v>27</v>
      </c>
      <c r="G53" t="s">
        <v>15</v>
      </c>
      <c r="H53" t="s">
        <v>15</v>
      </c>
      <c r="I53" t="s">
        <v>16</v>
      </c>
      <c r="J53" t="s">
        <v>15</v>
      </c>
      <c r="K53" t="s">
        <v>15</v>
      </c>
      <c r="L53" t="str">
        <f t="shared" si="0"/>
        <v>Yes</v>
      </c>
      <c r="M53" t="str">
        <f t="shared" si="1"/>
        <v>18-19</v>
      </c>
      <c r="N53" t="str">
        <f>TRIM(StudentData[[#This Row],[CGPA_Range]])</f>
        <v>3.50 - 4.00</v>
      </c>
    </row>
    <row r="54" spans="1:14" x14ac:dyDescent="0.3">
      <c r="A54" s="1">
        <v>44020.657638888886</v>
      </c>
      <c r="B54" t="s">
        <v>11</v>
      </c>
      <c r="C54">
        <v>19</v>
      </c>
      <c r="D54" t="s">
        <v>51</v>
      </c>
      <c r="E54" t="s">
        <v>35</v>
      </c>
      <c r="F54" t="s">
        <v>14</v>
      </c>
      <c r="G54" t="s">
        <v>15</v>
      </c>
      <c r="H54" t="s">
        <v>15</v>
      </c>
      <c r="I54" t="s">
        <v>15</v>
      </c>
      <c r="J54" t="s">
        <v>15</v>
      </c>
      <c r="K54" t="s">
        <v>15</v>
      </c>
      <c r="L54" t="str">
        <f t="shared" si="0"/>
        <v>No</v>
      </c>
      <c r="M54" t="str">
        <f t="shared" si="1"/>
        <v>18-19</v>
      </c>
      <c r="N54" t="str">
        <f>TRIM(StudentData[[#This Row],[CGPA_Range]])</f>
        <v>3.00 - 3.49</v>
      </c>
    </row>
    <row r="55" spans="1:14" x14ac:dyDescent="0.3">
      <c r="A55" s="1">
        <v>44020.658333333333</v>
      </c>
      <c r="B55" t="s">
        <v>11</v>
      </c>
      <c r="C55">
        <v>20</v>
      </c>
      <c r="D55" t="s">
        <v>40</v>
      </c>
      <c r="E55" t="s">
        <v>35</v>
      </c>
      <c r="F55" t="s">
        <v>14</v>
      </c>
      <c r="G55" t="s">
        <v>16</v>
      </c>
      <c r="H55" t="s">
        <v>16</v>
      </c>
      <c r="I55" t="s">
        <v>16</v>
      </c>
      <c r="J55" t="s">
        <v>16</v>
      </c>
      <c r="K55" t="s">
        <v>15</v>
      </c>
      <c r="L55" t="str">
        <f t="shared" si="0"/>
        <v>Yes</v>
      </c>
      <c r="M55" t="str">
        <f t="shared" si="1"/>
        <v>20-21</v>
      </c>
      <c r="N55" t="str">
        <f>TRIM(StudentData[[#This Row],[CGPA_Range]])</f>
        <v>3.00 - 3.49</v>
      </c>
    </row>
    <row r="56" spans="1:14" x14ac:dyDescent="0.3">
      <c r="A56" s="1">
        <v>44020.664583333331</v>
      </c>
      <c r="B56" t="s">
        <v>11</v>
      </c>
      <c r="C56">
        <v>19</v>
      </c>
      <c r="D56" t="s">
        <v>30</v>
      </c>
      <c r="E56" t="s">
        <v>21</v>
      </c>
      <c r="F56" t="s">
        <v>27</v>
      </c>
      <c r="G56" t="s">
        <v>15</v>
      </c>
      <c r="H56" t="s">
        <v>16</v>
      </c>
      <c r="I56" t="s">
        <v>15</v>
      </c>
      <c r="J56" t="s">
        <v>16</v>
      </c>
      <c r="K56" t="s">
        <v>16</v>
      </c>
      <c r="L56" t="str">
        <f t="shared" si="0"/>
        <v>Yes</v>
      </c>
      <c r="M56" t="str">
        <f t="shared" si="1"/>
        <v>18-19</v>
      </c>
      <c r="N56" t="str">
        <f>TRIM(StudentData[[#This Row],[CGPA_Range]])</f>
        <v>3.50 - 4.00</v>
      </c>
    </row>
    <row r="57" spans="1:14" x14ac:dyDescent="0.3">
      <c r="A57" s="1">
        <v>44020.665277777778</v>
      </c>
      <c r="B57" t="s">
        <v>17</v>
      </c>
      <c r="C57">
        <v>21</v>
      </c>
      <c r="D57" t="s">
        <v>30</v>
      </c>
      <c r="E57" t="s">
        <v>21</v>
      </c>
      <c r="F57" t="s">
        <v>14</v>
      </c>
      <c r="G57" t="s">
        <v>15</v>
      </c>
      <c r="H57" t="s">
        <v>15</v>
      </c>
      <c r="I57" t="s">
        <v>15</v>
      </c>
      <c r="J57" t="s">
        <v>15</v>
      </c>
      <c r="K57" t="s">
        <v>15</v>
      </c>
      <c r="L57" t="str">
        <f t="shared" si="0"/>
        <v>No</v>
      </c>
      <c r="M57" t="str">
        <f t="shared" si="1"/>
        <v>20-21</v>
      </c>
      <c r="N57" t="str">
        <f>TRIM(StudentData[[#This Row],[CGPA_Range]])</f>
        <v>3.00 - 3.49</v>
      </c>
    </row>
    <row r="58" spans="1:14" x14ac:dyDescent="0.3">
      <c r="A58" s="1">
        <v>44020.672222222223</v>
      </c>
      <c r="B58" t="s">
        <v>17</v>
      </c>
      <c r="C58">
        <v>23</v>
      </c>
      <c r="D58" t="s">
        <v>45</v>
      </c>
      <c r="E58" t="s">
        <v>35</v>
      </c>
      <c r="F58" t="s">
        <v>27</v>
      </c>
      <c r="G58" t="s">
        <v>15</v>
      </c>
      <c r="H58" t="s">
        <v>15</v>
      </c>
      <c r="I58" t="s">
        <v>15</v>
      </c>
      <c r="J58" t="s">
        <v>15</v>
      </c>
      <c r="K58" t="s">
        <v>15</v>
      </c>
      <c r="L58" t="str">
        <f t="shared" si="0"/>
        <v>No</v>
      </c>
      <c r="M58" t="str">
        <f t="shared" si="1"/>
        <v>22+</v>
      </c>
      <c r="N58" t="str">
        <f>TRIM(StudentData[[#This Row],[CGPA_Range]])</f>
        <v>3.50 - 4.00</v>
      </c>
    </row>
    <row r="59" spans="1:14" x14ac:dyDescent="0.3">
      <c r="A59" s="1">
        <v>44020.681250000001</v>
      </c>
      <c r="B59" t="s">
        <v>11</v>
      </c>
      <c r="C59">
        <v>20</v>
      </c>
      <c r="D59" t="s">
        <v>54</v>
      </c>
      <c r="E59" t="s">
        <v>35</v>
      </c>
      <c r="F59" t="s">
        <v>14</v>
      </c>
      <c r="G59" t="s">
        <v>15</v>
      </c>
      <c r="H59" t="s">
        <v>16</v>
      </c>
      <c r="I59" t="s">
        <v>16</v>
      </c>
      <c r="J59" t="s">
        <v>15</v>
      </c>
      <c r="K59" t="s">
        <v>15</v>
      </c>
      <c r="L59" t="str">
        <f t="shared" si="0"/>
        <v>Yes</v>
      </c>
      <c r="M59" t="str">
        <f t="shared" si="1"/>
        <v>20-21</v>
      </c>
      <c r="N59" t="str">
        <f>TRIM(StudentData[[#This Row],[CGPA_Range]])</f>
        <v>3.00 - 3.49</v>
      </c>
    </row>
    <row r="60" spans="1:14" x14ac:dyDescent="0.3">
      <c r="A60" s="1">
        <v>44020.681944444441</v>
      </c>
      <c r="B60" t="s">
        <v>11</v>
      </c>
      <c r="C60">
        <v>18</v>
      </c>
      <c r="D60" t="s">
        <v>30</v>
      </c>
      <c r="E60" t="s">
        <v>21</v>
      </c>
      <c r="F60" t="s">
        <v>27</v>
      </c>
      <c r="G60" t="s">
        <v>15</v>
      </c>
      <c r="H60" t="s">
        <v>15</v>
      </c>
      <c r="I60" t="s">
        <v>15</v>
      </c>
      <c r="J60" t="s">
        <v>15</v>
      </c>
      <c r="K60" t="s">
        <v>15</v>
      </c>
      <c r="L60" t="str">
        <f t="shared" si="0"/>
        <v>No</v>
      </c>
      <c r="M60" t="str">
        <f t="shared" si="1"/>
        <v>18-19</v>
      </c>
      <c r="N60" t="str">
        <f>TRIM(StudentData[[#This Row],[CGPA_Range]])</f>
        <v>3.50 - 4.00</v>
      </c>
    </row>
    <row r="61" spans="1:14" x14ac:dyDescent="0.3">
      <c r="A61" s="1">
        <v>44020.69027777778</v>
      </c>
      <c r="B61" t="s">
        <v>11</v>
      </c>
      <c r="C61">
        <v>23</v>
      </c>
      <c r="D61" t="s">
        <v>54</v>
      </c>
      <c r="E61" t="s">
        <v>21</v>
      </c>
      <c r="F61" t="s">
        <v>14</v>
      </c>
      <c r="G61" t="s">
        <v>15</v>
      </c>
      <c r="H61" t="s">
        <v>15</v>
      </c>
      <c r="I61" t="s">
        <v>15</v>
      </c>
      <c r="J61" t="s">
        <v>15</v>
      </c>
      <c r="K61" t="s">
        <v>15</v>
      </c>
      <c r="L61" t="str">
        <f t="shared" si="0"/>
        <v>No</v>
      </c>
      <c r="M61" t="str">
        <f t="shared" si="1"/>
        <v>22+</v>
      </c>
      <c r="N61" t="str">
        <f>TRIM(StudentData[[#This Row],[CGPA_Range]])</f>
        <v>3.00 - 3.49</v>
      </c>
    </row>
    <row r="62" spans="1:14" x14ac:dyDescent="0.3">
      <c r="A62" s="1">
        <v>44020.69027777778</v>
      </c>
      <c r="B62" t="s">
        <v>11</v>
      </c>
      <c r="C62">
        <v>18</v>
      </c>
      <c r="D62" t="s">
        <v>56</v>
      </c>
      <c r="E62" t="s">
        <v>35</v>
      </c>
      <c r="F62" t="s">
        <v>14</v>
      </c>
      <c r="G62" t="s">
        <v>15</v>
      </c>
      <c r="H62" t="s">
        <v>15</v>
      </c>
      <c r="I62" t="s">
        <v>15</v>
      </c>
      <c r="J62" t="s">
        <v>16</v>
      </c>
      <c r="K62" t="s">
        <v>15</v>
      </c>
      <c r="L62" t="str">
        <f t="shared" si="0"/>
        <v>Yes</v>
      </c>
      <c r="M62" t="str">
        <f t="shared" si="1"/>
        <v>18-19</v>
      </c>
      <c r="N62" t="str">
        <f>TRIM(StudentData[[#This Row],[CGPA_Range]])</f>
        <v>3.00 - 3.49</v>
      </c>
    </row>
    <row r="63" spans="1:14" x14ac:dyDescent="0.3">
      <c r="A63" s="1">
        <v>44020.703472222223</v>
      </c>
      <c r="B63" t="s">
        <v>11</v>
      </c>
      <c r="C63">
        <v>19</v>
      </c>
      <c r="D63" t="s">
        <v>30</v>
      </c>
      <c r="E63" t="s">
        <v>21</v>
      </c>
      <c r="F63" t="s">
        <v>27</v>
      </c>
      <c r="G63" t="s">
        <v>15</v>
      </c>
      <c r="H63" t="s">
        <v>15</v>
      </c>
      <c r="I63" t="s">
        <v>15</v>
      </c>
      <c r="J63" t="s">
        <v>15</v>
      </c>
      <c r="K63" t="s">
        <v>15</v>
      </c>
      <c r="L63" t="str">
        <f t="shared" si="0"/>
        <v>No</v>
      </c>
      <c r="M63" t="str">
        <f t="shared" si="1"/>
        <v>18-19</v>
      </c>
      <c r="N63" t="str">
        <f>TRIM(StudentData[[#This Row],[CGPA_Range]])</f>
        <v>3.50 - 4.00</v>
      </c>
    </row>
    <row r="64" spans="1:14" x14ac:dyDescent="0.3">
      <c r="A64" s="1">
        <v>44020.711805555555</v>
      </c>
      <c r="B64" t="s">
        <v>11</v>
      </c>
      <c r="C64">
        <v>18</v>
      </c>
      <c r="D64" t="s">
        <v>57</v>
      </c>
      <c r="E64" t="s">
        <v>21</v>
      </c>
      <c r="F64" t="s">
        <v>27</v>
      </c>
      <c r="G64" t="s">
        <v>15</v>
      </c>
      <c r="H64" t="s">
        <v>15</v>
      </c>
      <c r="I64" t="s">
        <v>15</v>
      </c>
      <c r="J64" t="s">
        <v>16</v>
      </c>
      <c r="K64" t="s">
        <v>15</v>
      </c>
      <c r="L64" t="str">
        <f t="shared" si="0"/>
        <v>Yes</v>
      </c>
      <c r="M64" t="str">
        <f t="shared" si="1"/>
        <v>18-19</v>
      </c>
      <c r="N64" t="str">
        <f>TRIM(StudentData[[#This Row],[CGPA_Range]])</f>
        <v>3.50 - 4.00</v>
      </c>
    </row>
    <row r="65" spans="1:14" x14ac:dyDescent="0.3">
      <c r="A65" s="1">
        <v>44020.734027777777</v>
      </c>
      <c r="B65" t="s">
        <v>11</v>
      </c>
      <c r="C65">
        <v>24</v>
      </c>
      <c r="D65" t="s">
        <v>12</v>
      </c>
      <c r="E65" t="s">
        <v>21</v>
      </c>
      <c r="F65" t="s">
        <v>27</v>
      </c>
      <c r="G65" t="s">
        <v>15</v>
      </c>
      <c r="H65" t="s">
        <v>15</v>
      </c>
      <c r="I65" t="s">
        <v>15</v>
      </c>
      <c r="J65" t="s">
        <v>16</v>
      </c>
      <c r="K65" t="s">
        <v>15</v>
      </c>
      <c r="L65" t="str">
        <f t="shared" si="0"/>
        <v>Yes</v>
      </c>
      <c r="M65" t="str">
        <f t="shared" si="1"/>
        <v>22+</v>
      </c>
      <c r="N65" t="str">
        <f>TRIM(StudentData[[#This Row],[CGPA_Range]])</f>
        <v>3.50 - 4.00</v>
      </c>
    </row>
    <row r="66" spans="1:14" x14ac:dyDescent="0.3">
      <c r="A66" s="1">
        <v>44020.740277777775</v>
      </c>
      <c r="B66" t="s">
        <v>11</v>
      </c>
      <c r="C66">
        <v>24</v>
      </c>
      <c r="D66" t="s">
        <v>12</v>
      </c>
      <c r="E66" t="s">
        <v>21</v>
      </c>
      <c r="F66" t="s">
        <v>27</v>
      </c>
      <c r="G66" t="s">
        <v>15</v>
      </c>
      <c r="H66" t="s">
        <v>15</v>
      </c>
      <c r="I66" t="s">
        <v>15</v>
      </c>
      <c r="J66" t="s">
        <v>15</v>
      </c>
      <c r="K66" t="s">
        <v>15</v>
      </c>
      <c r="L66" t="str">
        <f t="shared" si="0"/>
        <v>No</v>
      </c>
      <c r="M66" t="str">
        <f t="shared" si="1"/>
        <v>22+</v>
      </c>
      <c r="N66" t="str">
        <f>TRIM(StudentData[[#This Row],[CGPA_Range]])</f>
        <v>3.50 - 4.00</v>
      </c>
    </row>
    <row r="67" spans="1:14" x14ac:dyDescent="0.3">
      <c r="A67" s="1">
        <v>44020.743055555555</v>
      </c>
      <c r="B67" t="s">
        <v>11</v>
      </c>
      <c r="C67">
        <v>23</v>
      </c>
      <c r="D67" t="s">
        <v>59</v>
      </c>
      <c r="E67" t="s">
        <v>21</v>
      </c>
      <c r="F67" t="s">
        <v>27</v>
      </c>
      <c r="G67" t="s">
        <v>15</v>
      </c>
      <c r="H67" t="s">
        <v>16</v>
      </c>
      <c r="I67" t="s">
        <v>16</v>
      </c>
      <c r="J67" t="s">
        <v>15</v>
      </c>
      <c r="K67" t="s">
        <v>15</v>
      </c>
      <c r="L67" t="str">
        <f t="shared" ref="L67:L102" si="2">IF(OR(H67="Yes",I67="Yes",J67="Yes"),"Yes","No")</f>
        <v>Yes</v>
      </c>
      <c r="M67" t="str">
        <f t="shared" ref="M67:M102" si="3">IF(C67&lt;=19,"18-19",IF(C67&lt;=21,"20-21","22+"))</f>
        <v>22+</v>
      </c>
      <c r="N67" t="str">
        <f>TRIM(StudentData[[#This Row],[CGPA_Range]])</f>
        <v>3.50 - 4.00</v>
      </c>
    </row>
    <row r="68" spans="1:14" x14ac:dyDescent="0.3">
      <c r="A68" s="1">
        <v>44020.756944444445</v>
      </c>
      <c r="B68" t="s">
        <v>11</v>
      </c>
      <c r="C68">
        <v>18</v>
      </c>
      <c r="D68" t="s">
        <v>40</v>
      </c>
      <c r="E68" t="s">
        <v>35</v>
      </c>
      <c r="F68" t="s">
        <v>14</v>
      </c>
      <c r="G68" t="s">
        <v>15</v>
      </c>
      <c r="H68" t="s">
        <v>15</v>
      </c>
      <c r="I68" t="s">
        <v>16</v>
      </c>
      <c r="J68" t="s">
        <v>15</v>
      </c>
      <c r="K68" t="s">
        <v>15</v>
      </c>
      <c r="L68" t="str">
        <f t="shared" si="2"/>
        <v>Yes</v>
      </c>
      <c r="M68" t="str">
        <f t="shared" si="3"/>
        <v>18-19</v>
      </c>
      <c r="N68" t="str">
        <f>TRIM(StudentData[[#This Row],[CGPA_Range]])</f>
        <v>3.00 - 3.49</v>
      </c>
    </row>
    <row r="69" spans="1:14" x14ac:dyDescent="0.3">
      <c r="A69" s="1">
        <v>44020.757638888892</v>
      </c>
      <c r="B69" t="s">
        <v>17</v>
      </c>
      <c r="C69">
        <v>19</v>
      </c>
      <c r="D69" t="s">
        <v>60</v>
      </c>
      <c r="E69" t="s">
        <v>35</v>
      </c>
      <c r="F69" t="s">
        <v>14</v>
      </c>
      <c r="G69" t="s">
        <v>16</v>
      </c>
      <c r="H69" t="s">
        <v>16</v>
      </c>
      <c r="I69" t="s">
        <v>15</v>
      </c>
      <c r="J69" t="s">
        <v>16</v>
      </c>
      <c r="K69" t="s">
        <v>15</v>
      </c>
      <c r="L69" t="str">
        <f t="shared" si="2"/>
        <v>Yes</v>
      </c>
      <c r="M69" t="str">
        <f t="shared" si="3"/>
        <v>18-19</v>
      </c>
      <c r="N69" t="str">
        <f>TRIM(StudentData[[#This Row],[CGPA_Range]])</f>
        <v>3.00 - 3.49</v>
      </c>
    </row>
    <row r="70" spans="1:14" x14ac:dyDescent="0.3">
      <c r="A70" s="1">
        <v>44020.795138888891</v>
      </c>
      <c r="B70" t="s">
        <v>11</v>
      </c>
      <c r="C70">
        <v>18</v>
      </c>
      <c r="D70" t="s">
        <v>61</v>
      </c>
      <c r="E70" t="s">
        <v>21</v>
      </c>
      <c r="F70" t="s">
        <v>27</v>
      </c>
      <c r="G70" t="s">
        <v>15</v>
      </c>
      <c r="H70" t="s">
        <v>16</v>
      </c>
      <c r="I70" t="s">
        <v>15</v>
      </c>
      <c r="J70" t="s">
        <v>15</v>
      </c>
      <c r="K70" t="s">
        <v>15</v>
      </c>
      <c r="L70" t="str">
        <f t="shared" si="2"/>
        <v>Yes</v>
      </c>
      <c r="M70" t="str">
        <f t="shared" si="3"/>
        <v>18-19</v>
      </c>
      <c r="N70" t="str">
        <f>TRIM(StudentData[[#This Row],[CGPA_Range]])</f>
        <v>3.50 - 4.00</v>
      </c>
    </row>
    <row r="71" spans="1:14" x14ac:dyDescent="0.3">
      <c r="A71" s="1">
        <v>44020.813888888886</v>
      </c>
      <c r="B71" t="s">
        <v>11</v>
      </c>
      <c r="C71">
        <v>24</v>
      </c>
      <c r="D71" t="s">
        <v>62</v>
      </c>
      <c r="E71" t="s">
        <v>85</v>
      </c>
      <c r="F71" t="s">
        <v>14</v>
      </c>
      <c r="G71" t="s">
        <v>15</v>
      </c>
      <c r="H71" t="s">
        <v>15</v>
      </c>
      <c r="I71" t="s">
        <v>16</v>
      </c>
      <c r="J71" t="s">
        <v>15</v>
      </c>
      <c r="K71" t="s">
        <v>15</v>
      </c>
      <c r="L71" t="str">
        <f t="shared" si="2"/>
        <v>Yes</v>
      </c>
      <c r="M71" t="str">
        <f t="shared" si="3"/>
        <v>22+</v>
      </c>
      <c r="N71" t="str">
        <f>TRIM(StudentData[[#This Row],[CGPA_Range]])</f>
        <v>3.00 - 3.49</v>
      </c>
    </row>
    <row r="72" spans="1:14" x14ac:dyDescent="0.3">
      <c r="A72" s="1">
        <v>44020.85833333333</v>
      </c>
      <c r="B72" t="s">
        <v>11</v>
      </c>
      <c r="C72">
        <v>24</v>
      </c>
      <c r="D72" t="s">
        <v>51</v>
      </c>
      <c r="E72" t="s">
        <v>21</v>
      </c>
      <c r="F72" t="s">
        <v>14</v>
      </c>
      <c r="G72" t="s">
        <v>15</v>
      </c>
      <c r="H72" t="s">
        <v>15</v>
      </c>
      <c r="I72" t="s">
        <v>15</v>
      </c>
      <c r="J72" t="s">
        <v>15</v>
      </c>
      <c r="K72" t="s">
        <v>15</v>
      </c>
      <c r="L72" t="str">
        <f t="shared" si="2"/>
        <v>No</v>
      </c>
      <c r="M72" t="str">
        <f t="shared" si="3"/>
        <v>22+</v>
      </c>
      <c r="N72" t="str">
        <f>TRIM(StudentData[[#This Row],[CGPA_Range]])</f>
        <v>3.00 - 3.49</v>
      </c>
    </row>
    <row r="73" spans="1:14" x14ac:dyDescent="0.3">
      <c r="A73" s="1">
        <v>44020.88958333333</v>
      </c>
      <c r="B73" t="s">
        <v>11</v>
      </c>
      <c r="C73">
        <v>18</v>
      </c>
      <c r="D73" t="s">
        <v>44</v>
      </c>
      <c r="E73" t="s">
        <v>35</v>
      </c>
      <c r="F73" t="s">
        <v>27</v>
      </c>
      <c r="G73" t="s">
        <v>15</v>
      </c>
      <c r="H73" t="s">
        <v>15</v>
      </c>
      <c r="I73" t="s">
        <v>15</v>
      </c>
      <c r="J73" t="s">
        <v>16</v>
      </c>
      <c r="K73" t="s">
        <v>15</v>
      </c>
      <c r="L73" t="str">
        <f t="shared" si="2"/>
        <v>Yes</v>
      </c>
      <c r="M73" t="str">
        <f t="shared" si="3"/>
        <v>18-19</v>
      </c>
      <c r="N73" t="str">
        <f>TRIM(StudentData[[#This Row],[CGPA_Range]])</f>
        <v>3.50 - 4.00</v>
      </c>
    </row>
    <row r="74" spans="1:14" x14ac:dyDescent="0.3">
      <c r="A74" s="1">
        <v>44020.940972222219</v>
      </c>
      <c r="B74" t="s">
        <v>11</v>
      </c>
      <c r="C74">
        <v>19</v>
      </c>
      <c r="D74" t="s">
        <v>20</v>
      </c>
      <c r="E74" t="s">
        <v>35</v>
      </c>
      <c r="F74" t="s">
        <v>14</v>
      </c>
      <c r="G74" t="s">
        <v>16</v>
      </c>
      <c r="H74" t="s">
        <v>16</v>
      </c>
      <c r="I74" t="s">
        <v>15</v>
      </c>
      <c r="J74" t="s">
        <v>15</v>
      </c>
      <c r="K74" t="s">
        <v>15</v>
      </c>
      <c r="L74" t="str">
        <f t="shared" si="2"/>
        <v>Yes</v>
      </c>
      <c r="M74" t="str">
        <f t="shared" si="3"/>
        <v>18-19</v>
      </c>
      <c r="N74" t="str">
        <f>TRIM(StudentData[[#This Row],[CGPA_Range]])</f>
        <v>3.00 - 3.49</v>
      </c>
    </row>
    <row r="75" spans="1:14" x14ac:dyDescent="0.3">
      <c r="A75" s="1">
        <v>44021.289583333331</v>
      </c>
      <c r="B75" t="s">
        <v>17</v>
      </c>
      <c r="C75">
        <v>18</v>
      </c>
      <c r="D75" t="s">
        <v>51</v>
      </c>
      <c r="E75" t="s">
        <v>21</v>
      </c>
      <c r="F75" t="s">
        <v>47</v>
      </c>
      <c r="G75" t="s">
        <v>15</v>
      </c>
      <c r="H75" t="s">
        <v>15</v>
      </c>
      <c r="I75" t="s">
        <v>15</v>
      </c>
      <c r="J75" t="s">
        <v>15</v>
      </c>
      <c r="K75" t="s">
        <v>15</v>
      </c>
      <c r="L75" t="str">
        <f t="shared" si="2"/>
        <v>No</v>
      </c>
      <c r="M75" t="str">
        <f t="shared" si="3"/>
        <v>18-19</v>
      </c>
      <c r="N75" t="str">
        <f>TRIM(StudentData[[#This Row],[CGPA_Range]])</f>
        <v>0 - 1.99</v>
      </c>
    </row>
    <row r="76" spans="1:14" x14ac:dyDescent="0.3">
      <c r="A76" s="1">
        <v>44021.488194444442</v>
      </c>
      <c r="B76" t="s">
        <v>17</v>
      </c>
      <c r="C76">
        <v>24</v>
      </c>
      <c r="D76" t="s">
        <v>20</v>
      </c>
      <c r="E76" t="s">
        <v>35</v>
      </c>
      <c r="F76" t="s">
        <v>27</v>
      </c>
      <c r="G76" t="s">
        <v>15</v>
      </c>
      <c r="H76" t="s">
        <v>15</v>
      </c>
      <c r="I76" t="s">
        <v>16</v>
      </c>
      <c r="J76" t="s">
        <v>15</v>
      </c>
      <c r="K76" t="s">
        <v>15</v>
      </c>
      <c r="L76" t="str">
        <f t="shared" si="2"/>
        <v>Yes</v>
      </c>
      <c r="M76" t="str">
        <f t="shared" si="3"/>
        <v>22+</v>
      </c>
      <c r="N76" t="str">
        <f>TRIM(StudentData[[#This Row],[CGPA_Range]])</f>
        <v>3.50 - 4.00</v>
      </c>
    </row>
    <row r="77" spans="1:14" x14ac:dyDescent="0.3">
      <c r="A77" s="1">
        <v>44021.497916666667</v>
      </c>
      <c r="B77" t="s">
        <v>11</v>
      </c>
      <c r="C77">
        <v>24</v>
      </c>
      <c r="D77" t="s">
        <v>40</v>
      </c>
      <c r="E77" t="s">
        <v>21</v>
      </c>
      <c r="F77" t="s">
        <v>27</v>
      </c>
      <c r="G77" t="s">
        <v>15</v>
      </c>
      <c r="H77" t="s">
        <v>15</v>
      </c>
      <c r="I77" t="s">
        <v>16</v>
      </c>
      <c r="J77" t="s">
        <v>16</v>
      </c>
      <c r="K77" t="s">
        <v>15</v>
      </c>
      <c r="L77" t="str">
        <f t="shared" si="2"/>
        <v>Yes</v>
      </c>
      <c r="M77" t="str">
        <f t="shared" si="3"/>
        <v>22+</v>
      </c>
      <c r="N77" t="str">
        <f>TRIM(StudentData[[#This Row],[CGPA_Range]])</f>
        <v>3.50 - 4.00</v>
      </c>
    </row>
    <row r="78" spans="1:14" x14ac:dyDescent="0.3">
      <c r="A78" s="1">
        <v>44021.552083333336</v>
      </c>
      <c r="B78" t="s">
        <v>11</v>
      </c>
      <c r="C78">
        <v>23</v>
      </c>
      <c r="D78" t="s">
        <v>12</v>
      </c>
      <c r="E78" t="s">
        <v>21</v>
      </c>
      <c r="F78" t="s">
        <v>14</v>
      </c>
      <c r="G78" t="s">
        <v>15</v>
      </c>
      <c r="H78" t="s">
        <v>16</v>
      </c>
      <c r="I78" t="s">
        <v>15</v>
      </c>
      <c r="J78" t="s">
        <v>15</v>
      </c>
      <c r="K78" t="s">
        <v>15</v>
      </c>
      <c r="L78" t="str">
        <f t="shared" si="2"/>
        <v>Yes</v>
      </c>
      <c r="M78" t="str">
        <f t="shared" si="3"/>
        <v>22+</v>
      </c>
      <c r="N78" t="str">
        <f>TRIM(StudentData[[#This Row],[CGPA_Range]])</f>
        <v>3.00 - 3.49</v>
      </c>
    </row>
    <row r="79" spans="1:14" x14ac:dyDescent="0.3">
      <c r="A79" s="1">
        <v>44021.76666666667</v>
      </c>
      <c r="B79" t="s">
        <v>11</v>
      </c>
      <c r="C79">
        <v>18</v>
      </c>
      <c r="D79" t="s">
        <v>63</v>
      </c>
      <c r="E79" t="s">
        <v>26</v>
      </c>
      <c r="F79" t="s">
        <v>14</v>
      </c>
      <c r="G79" t="s">
        <v>15</v>
      </c>
      <c r="H79" t="s">
        <v>15</v>
      </c>
      <c r="I79" t="s">
        <v>15</v>
      </c>
      <c r="J79" t="s">
        <v>16</v>
      </c>
      <c r="K79" t="s">
        <v>15</v>
      </c>
      <c r="L79" t="str">
        <f t="shared" si="2"/>
        <v>Yes</v>
      </c>
      <c r="M79" t="str">
        <f t="shared" si="3"/>
        <v>18-19</v>
      </c>
      <c r="N79" t="str">
        <f>TRIM(StudentData[[#This Row],[CGPA_Range]])</f>
        <v>3.00 - 3.49</v>
      </c>
    </row>
    <row r="80" spans="1:14" x14ac:dyDescent="0.3">
      <c r="A80" s="1">
        <v>44025.421898148146</v>
      </c>
      <c r="B80" t="s">
        <v>11</v>
      </c>
      <c r="C80">
        <v>19</v>
      </c>
      <c r="D80" t="s">
        <v>64</v>
      </c>
      <c r="E80" t="s">
        <v>35</v>
      </c>
      <c r="F80" t="s">
        <v>47</v>
      </c>
      <c r="G80" t="s">
        <v>15</v>
      </c>
      <c r="H80" t="s">
        <v>15</v>
      </c>
      <c r="I80" t="s">
        <v>15</v>
      </c>
      <c r="J80" t="s">
        <v>15</v>
      </c>
      <c r="K80" t="s">
        <v>15</v>
      </c>
      <c r="L80" t="str">
        <f t="shared" si="2"/>
        <v>No</v>
      </c>
      <c r="M80" t="str">
        <f t="shared" si="3"/>
        <v>18-19</v>
      </c>
      <c r="N80" t="str">
        <f>TRIM(StudentData[[#This Row],[CGPA_Range]])</f>
        <v>0 - 1.99</v>
      </c>
    </row>
    <row r="81" spans="1:14" x14ac:dyDescent="0.3">
      <c r="A81" s="1">
        <v>44025.423958333333</v>
      </c>
      <c r="B81" t="s">
        <v>11</v>
      </c>
      <c r="C81">
        <v>18</v>
      </c>
      <c r="D81" t="s">
        <v>12</v>
      </c>
      <c r="E81" t="s">
        <v>85</v>
      </c>
      <c r="F81" t="s">
        <v>27</v>
      </c>
      <c r="G81" t="s">
        <v>15</v>
      </c>
      <c r="H81" t="s">
        <v>15</v>
      </c>
      <c r="I81" t="s">
        <v>15</v>
      </c>
      <c r="J81" t="s">
        <v>15</v>
      </c>
      <c r="K81" t="s">
        <v>15</v>
      </c>
      <c r="L81" t="str">
        <f t="shared" si="2"/>
        <v>No</v>
      </c>
      <c r="M81" t="str">
        <f t="shared" si="3"/>
        <v>18-19</v>
      </c>
      <c r="N81" t="str">
        <f>TRIM(StudentData[[#This Row],[CGPA_Range]])</f>
        <v>3.50 - 4.00</v>
      </c>
    </row>
    <row r="82" spans="1:14" x14ac:dyDescent="0.3">
      <c r="A82" s="1">
        <v>44025.42460648148</v>
      </c>
      <c r="B82" t="s">
        <v>11</v>
      </c>
      <c r="C82">
        <v>24</v>
      </c>
      <c r="D82" t="s">
        <v>65</v>
      </c>
      <c r="E82" t="s">
        <v>26</v>
      </c>
      <c r="F82" t="s">
        <v>27</v>
      </c>
      <c r="G82" t="s">
        <v>16</v>
      </c>
      <c r="H82" t="s">
        <v>16</v>
      </c>
      <c r="I82" t="s">
        <v>16</v>
      </c>
      <c r="J82" t="s">
        <v>16</v>
      </c>
      <c r="K82" t="s">
        <v>15</v>
      </c>
      <c r="L82" t="str">
        <f t="shared" si="2"/>
        <v>Yes</v>
      </c>
      <c r="M82" t="str">
        <f t="shared" si="3"/>
        <v>22+</v>
      </c>
      <c r="N82" t="str">
        <f>TRIM(StudentData[[#This Row],[CGPA_Range]])</f>
        <v>3.50 - 4.00</v>
      </c>
    </row>
    <row r="83" spans="1:14" x14ac:dyDescent="0.3">
      <c r="A83" s="1">
        <v>44025.425208333334</v>
      </c>
      <c r="B83" t="s">
        <v>11</v>
      </c>
      <c r="C83">
        <v>24</v>
      </c>
      <c r="D83" t="s">
        <v>66</v>
      </c>
      <c r="E83" t="s">
        <v>26</v>
      </c>
      <c r="F83" t="s">
        <v>27</v>
      </c>
      <c r="G83" t="s">
        <v>15</v>
      </c>
      <c r="H83" t="s">
        <v>15</v>
      </c>
      <c r="I83" t="s">
        <v>15</v>
      </c>
      <c r="J83" t="s">
        <v>15</v>
      </c>
      <c r="K83" t="s">
        <v>15</v>
      </c>
      <c r="L83" t="str">
        <f t="shared" si="2"/>
        <v>No</v>
      </c>
      <c r="M83" t="str">
        <f t="shared" si="3"/>
        <v>22+</v>
      </c>
      <c r="N83" t="str">
        <f>TRIM(StudentData[[#This Row],[CGPA_Range]])</f>
        <v>3.50 - 4.00</v>
      </c>
    </row>
    <row r="84" spans="1:14" x14ac:dyDescent="0.3">
      <c r="A84" s="1">
        <v>44025.425300925926</v>
      </c>
      <c r="B84" t="s">
        <v>11</v>
      </c>
      <c r="C84">
        <v>19</v>
      </c>
      <c r="D84" t="s">
        <v>12</v>
      </c>
      <c r="E84" t="s">
        <v>21</v>
      </c>
      <c r="F84" t="s">
        <v>14</v>
      </c>
      <c r="G84" t="s">
        <v>15</v>
      </c>
      <c r="H84" t="s">
        <v>16</v>
      </c>
      <c r="I84" t="s">
        <v>16</v>
      </c>
      <c r="J84" t="s">
        <v>15</v>
      </c>
      <c r="K84" t="s">
        <v>15</v>
      </c>
      <c r="L84" t="str">
        <f t="shared" si="2"/>
        <v>Yes</v>
      </c>
      <c r="M84" t="str">
        <f t="shared" si="3"/>
        <v>18-19</v>
      </c>
      <c r="N84" t="str">
        <f>TRIM(StudentData[[#This Row],[CGPA_Range]])</f>
        <v>3.00 - 3.49</v>
      </c>
    </row>
    <row r="85" spans="1:14" x14ac:dyDescent="0.3">
      <c r="A85" s="1">
        <v>44025.425324074073</v>
      </c>
      <c r="B85" t="s">
        <v>11</v>
      </c>
      <c r="C85">
        <v>19</v>
      </c>
      <c r="D85" t="s">
        <v>67</v>
      </c>
      <c r="E85" t="s">
        <v>26</v>
      </c>
      <c r="F85" t="s">
        <v>14</v>
      </c>
      <c r="G85" t="s">
        <v>15</v>
      </c>
      <c r="H85" t="s">
        <v>15</v>
      </c>
      <c r="I85" t="s">
        <v>15</v>
      </c>
      <c r="J85" t="s">
        <v>15</v>
      </c>
      <c r="K85" t="s">
        <v>15</v>
      </c>
      <c r="L85" t="str">
        <f t="shared" si="2"/>
        <v>No</v>
      </c>
      <c r="M85" t="str">
        <f t="shared" si="3"/>
        <v>18-19</v>
      </c>
      <c r="N85" t="str">
        <f>TRIM(StudentData[[#This Row],[CGPA_Range]])</f>
        <v>3.00 - 3.49</v>
      </c>
    </row>
    <row r="86" spans="1:14" x14ac:dyDescent="0.3">
      <c r="A86" s="1">
        <v>44025.426921296297</v>
      </c>
      <c r="B86" t="s">
        <v>17</v>
      </c>
      <c r="C86">
        <v>23</v>
      </c>
      <c r="D86" t="s">
        <v>68</v>
      </c>
      <c r="E86" t="s">
        <v>21</v>
      </c>
      <c r="F86" t="s">
        <v>14</v>
      </c>
      <c r="G86" t="s">
        <v>15</v>
      </c>
      <c r="H86" t="s">
        <v>15</v>
      </c>
      <c r="I86" t="s">
        <v>15</v>
      </c>
      <c r="J86" t="s">
        <v>15</v>
      </c>
      <c r="K86" t="s">
        <v>15</v>
      </c>
      <c r="L86" t="str">
        <f t="shared" si="2"/>
        <v>No</v>
      </c>
      <c r="M86" t="str">
        <f t="shared" si="3"/>
        <v>22+</v>
      </c>
      <c r="N86" t="str">
        <f>TRIM(StudentData[[#This Row],[CGPA_Range]])</f>
        <v>3.00 - 3.49</v>
      </c>
    </row>
    <row r="87" spans="1:14" x14ac:dyDescent="0.3">
      <c r="A87" s="1">
        <v>44025.440127314818</v>
      </c>
      <c r="B87" t="s">
        <v>11</v>
      </c>
      <c r="C87">
        <v>18</v>
      </c>
      <c r="D87" t="s">
        <v>34</v>
      </c>
      <c r="E87" t="s">
        <v>21</v>
      </c>
      <c r="F87" t="s">
        <v>27</v>
      </c>
      <c r="G87" t="s">
        <v>15</v>
      </c>
      <c r="H87" t="s">
        <v>16</v>
      </c>
      <c r="I87" t="s">
        <v>16</v>
      </c>
      <c r="J87" t="s">
        <v>15</v>
      </c>
      <c r="K87" t="s">
        <v>16</v>
      </c>
      <c r="L87" t="str">
        <f t="shared" si="2"/>
        <v>Yes</v>
      </c>
      <c r="M87" t="str">
        <f t="shared" si="3"/>
        <v>18-19</v>
      </c>
      <c r="N87" t="str">
        <f>TRIM(StudentData[[#This Row],[CGPA_Range]])</f>
        <v>3.50 - 4.00</v>
      </c>
    </row>
    <row r="88" spans="1:14" x14ac:dyDescent="0.3">
      <c r="A88" s="1">
        <v>44025.440370370372</v>
      </c>
      <c r="B88" t="s">
        <v>11</v>
      </c>
      <c r="C88">
        <v>19</v>
      </c>
      <c r="D88" t="s">
        <v>70</v>
      </c>
      <c r="E88" t="s">
        <v>35</v>
      </c>
      <c r="F88" t="s">
        <v>14</v>
      </c>
      <c r="G88" t="s">
        <v>15</v>
      </c>
      <c r="H88" t="s">
        <v>15</v>
      </c>
      <c r="I88" t="s">
        <v>15</v>
      </c>
      <c r="J88" t="s">
        <v>15</v>
      </c>
      <c r="K88" t="s">
        <v>15</v>
      </c>
      <c r="L88" t="str">
        <f t="shared" si="2"/>
        <v>No</v>
      </c>
      <c r="M88" t="str">
        <f t="shared" si="3"/>
        <v>18-19</v>
      </c>
      <c r="N88" t="str">
        <f>TRIM(StudentData[[#This Row],[CGPA_Range]])</f>
        <v>3.00 - 3.49</v>
      </c>
    </row>
    <row r="89" spans="1:14" x14ac:dyDescent="0.3">
      <c r="A89" s="1">
        <v>44025.490428240744</v>
      </c>
      <c r="B89" t="s">
        <v>11</v>
      </c>
      <c r="C89">
        <v>18</v>
      </c>
      <c r="D89" t="s">
        <v>34</v>
      </c>
      <c r="E89" t="s">
        <v>21</v>
      </c>
      <c r="F89" t="s">
        <v>27</v>
      </c>
      <c r="G89" t="s">
        <v>15</v>
      </c>
      <c r="H89" t="s">
        <v>16</v>
      </c>
      <c r="I89" t="s">
        <v>16</v>
      </c>
      <c r="J89" t="s">
        <v>16</v>
      </c>
      <c r="K89" t="s">
        <v>15</v>
      </c>
      <c r="L89" t="str">
        <f t="shared" si="2"/>
        <v>Yes</v>
      </c>
      <c r="M89" t="str">
        <f t="shared" si="3"/>
        <v>18-19</v>
      </c>
      <c r="N89" t="str">
        <f>TRIM(StudentData[[#This Row],[CGPA_Range]])</f>
        <v>3.50 - 4.00</v>
      </c>
    </row>
    <row r="90" spans="1:14" x14ac:dyDescent="0.3">
      <c r="A90" s="1">
        <v>44025.492384259262</v>
      </c>
      <c r="B90" t="s">
        <v>17</v>
      </c>
      <c r="C90">
        <v>24</v>
      </c>
      <c r="D90" t="s">
        <v>20</v>
      </c>
      <c r="E90" t="s">
        <v>21</v>
      </c>
      <c r="F90" t="s">
        <v>14</v>
      </c>
      <c r="G90" t="s">
        <v>15</v>
      </c>
      <c r="H90" t="s">
        <v>15</v>
      </c>
      <c r="I90" t="s">
        <v>16</v>
      </c>
      <c r="J90" t="s">
        <v>15</v>
      </c>
      <c r="K90" t="s">
        <v>15</v>
      </c>
      <c r="L90" t="str">
        <f t="shared" si="2"/>
        <v>Yes</v>
      </c>
      <c r="M90" t="str">
        <f t="shared" si="3"/>
        <v>22+</v>
      </c>
      <c r="N90" t="str">
        <f>TRIM(StudentData[[#This Row],[CGPA_Range]])</f>
        <v>3.00 - 3.49</v>
      </c>
    </row>
    <row r="91" spans="1:14" x14ac:dyDescent="0.3">
      <c r="A91" s="1">
        <v>44025.496504629627</v>
      </c>
      <c r="B91" t="s">
        <v>17</v>
      </c>
      <c r="C91">
        <v>24</v>
      </c>
      <c r="D91" t="s">
        <v>12</v>
      </c>
      <c r="E91" t="s">
        <v>26</v>
      </c>
      <c r="F91" t="s">
        <v>43</v>
      </c>
      <c r="G91" t="s">
        <v>15</v>
      </c>
      <c r="H91" t="s">
        <v>15</v>
      </c>
      <c r="I91" t="s">
        <v>15</v>
      </c>
      <c r="J91" t="s">
        <v>16</v>
      </c>
      <c r="K91" t="s">
        <v>15</v>
      </c>
      <c r="L91" t="str">
        <f t="shared" si="2"/>
        <v>Yes</v>
      </c>
      <c r="M91" t="str">
        <f t="shared" si="3"/>
        <v>22+</v>
      </c>
      <c r="N91" t="str">
        <f>TRIM(StudentData[[#This Row],[CGPA_Range]])</f>
        <v>2.00 - 2.49</v>
      </c>
    </row>
    <row r="92" spans="1:14" x14ac:dyDescent="0.3">
      <c r="A92" s="1">
        <v>44025.581377314818</v>
      </c>
      <c r="B92" t="s">
        <v>11</v>
      </c>
      <c r="C92">
        <v>23</v>
      </c>
      <c r="D92" t="s">
        <v>71</v>
      </c>
      <c r="E92" t="s">
        <v>35</v>
      </c>
      <c r="F92" t="s">
        <v>27</v>
      </c>
      <c r="G92" t="s">
        <v>15</v>
      </c>
      <c r="H92" t="s">
        <v>15</v>
      </c>
      <c r="I92" t="s">
        <v>15</v>
      </c>
      <c r="J92" t="s">
        <v>16</v>
      </c>
      <c r="K92" t="s">
        <v>15</v>
      </c>
      <c r="L92" t="str">
        <f t="shared" si="2"/>
        <v>Yes</v>
      </c>
      <c r="M92" t="str">
        <f t="shared" si="3"/>
        <v>22+</v>
      </c>
      <c r="N92" t="str">
        <f>TRIM(StudentData[[#This Row],[CGPA_Range]])</f>
        <v>3.50 - 4.00</v>
      </c>
    </row>
    <row r="93" spans="1:14" x14ac:dyDescent="0.3">
      <c r="A93" s="1">
        <v>44025.609861111108</v>
      </c>
      <c r="B93" t="s">
        <v>17</v>
      </c>
      <c r="C93">
        <v>18</v>
      </c>
      <c r="D93" t="s">
        <v>40</v>
      </c>
      <c r="E93" t="s">
        <v>26</v>
      </c>
      <c r="F93" t="s">
        <v>14</v>
      </c>
      <c r="G93" t="s">
        <v>15</v>
      </c>
      <c r="H93" t="s">
        <v>15</v>
      </c>
      <c r="I93" t="s">
        <v>16</v>
      </c>
      <c r="J93" t="s">
        <v>15</v>
      </c>
      <c r="K93" t="s">
        <v>15</v>
      </c>
      <c r="L93" t="str">
        <f t="shared" si="2"/>
        <v>Yes</v>
      </c>
      <c r="M93" t="str">
        <f t="shared" si="3"/>
        <v>18-19</v>
      </c>
      <c r="N93" t="str">
        <f>TRIM(StudentData[[#This Row],[CGPA_Range]])</f>
        <v>3.00 - 3.49</v>
      </c>
    </row>
    <row r="94" spans="1:14" x14ac:dyDescent="0.3">
      <c r="A94" s="1">
        <v>44025.616724537038</v>
      </c>
      <c r="B94" t="s">
        <v>11</v>
      </c>
      <c r="C94">
        <v>19</v>
      </c>
      <c r="D94" t="s">
        <v>40</v>
      </c>
      <c r="E94" t="s">
        <v>26</v>
      </c>
      <c r="F94" t="s">
        <v>14</v>
      </c>
      <c r="G94" t="s">
        <v>16</v>
      </c>
      <c r="H94" t="s">
        <v>16</v>
      </c>
      <c r="I94" t="s">
        <v>15</v>
      </c>
      <c r="J94" t="s">
        <v>15</v>
      </c>
      <c r="K94" t="s">
        <v>15</v>
      </c>
      <c r="L94" t="str">
        <f t="shared" si="2"/>
        <v>Yes</v>
      </c>
      <c r="M94" t="str">
        <f t="shared" si="3"/>
        <v>18-19</v>
      </c>
      <c r="N94" t="str">
        <f>TRIM(StudentData[[#This Row],[CGPA_Range]])</f>
        <v>3.00 - 3.49</v>
      </c>
    </row>
    <row r="95" spans="1:14" x14ac:dyDescent="0.3">
      <c r="A95" s="1">
        <v>44025.677233796298</v>
      </c>
      <c r="B95" t="s">
        <v>11</v>
      </c>
      <c r="C95">
        <v>18</v>
      </c>
      <c r="D95" t="s">
        <v>54</v>
      </c>
      <c r="E95" t="s">
        <v>21</v>
      </c>
      <c r="F95" t="s">
        <v>14</v>
      </c>
      <c r="G95" t="s">
        <v>15</v>
      </c>
      <c r="H95" t="s">
        <v>16</v>
      </c>
      <c r="I95" t="s">
        <v>15</v>
      </c>
      <c r="J95" t="s">
        <v>15</v>
      </c>
      <c r="K95" t="s">
        <v>15</v>
      </c>
      <c r="L95" t="str">
        <f t="shared" si="2"/>
        <v>Yes</v>
      </c>
      <c r="M95" t="str">
        <f t="shared" si="3"/>
        <v>18-19</v>
      </c>
      <c r="N95" t="str">
        <f>TRIM(StudentData[[#This Row],[CGPA_Range]])</f>
        <v>3.00 - 3.49</v>
      </c>
    </row>
    <row r="96" spans="1:14" x14ac:dyDescent="0.3">
      <c r="A96" s="1">
        <v>44025.729675925926</v>
      </c>
      <c r="B96" t="s">
        <v>11</v>
      </c>
      <c r="C96">
        <v>24</v>
      </c>
      <c r="D96" t="s">
        <v>70</v>
      </c>
      <c r="E96" t="s">
        <v>35</v>
      </c>
      <c r="F96" t="s">
        <v>47</v>
      </c>
      <c r="G96" t="s">
        <v>15</v>
      </c>
      <c r="H96" t="s">
        <v>15</v>
      </c>
      <c r="I96" t="s">
        <v>15</v>
      </c>
      <c r="J96" t="s">
        <v>16</v>
      </c>
      <c r="K96" t="s">
        <v>15</v>
      </c>
      <c r="L96" t="str">
        <f t="shared" si="2"/>
        <v>Yes</v>
      </c>
      <c r="M96" t="str">
        <f t="shared" si="3"/>
        <v>22+</v>
      </c>
      <c r="N96" t="str">
        <f>TRIM(StudentData[[#This Row],[CGPA_Range]])</f>
        <v>0 - 1.99</v>
      </c>
    </row>
    <row r="97" spans="1:14" x14ac:dyDescent="0.3">
      <c r="A97" s="1">
        <v>44025.797592592593</v>
      </c>
      <c r="B97" t="s">
        <v>11</v>
      </c>
      <c r="C97">
        <v>18</v>
      </c>
      <c r="D97" t="s">
        <v>74</v>
      </c>
      <c r="E97" t="s">
        <v>21</v>
      </c>
      <c r="F97" t="s">
        <v>27</v>
      </c>
      <c r="G97" t="s">
        <v>15</v>
      </c>
      <c r="H97" t="s">
        <v>15</v>
      </c>
      <c r="I97" t="s">
        <v>15</v>
      </c>
      <c r="J97" t="s">
        <v>15</v>
      </c>
      <c r="K97" t="s">
        <v>15</v>
      </c>
      <c r="L97" t="str">
        <f t="shared" si="2"/>
        <v>No</v>
      </c>
      <c r="M97" t="str">
        <f t="shared" si="3"/>
        <v>18-19</v>
      </c>
      <c r="N97" t="str">
        <f>TRIM(StudentData[[#This Row],[CGPA_Range]])</f>
        <v>3.50 - 4.00</v>
      </c>
    </row>
    <row r="98" spans="1:14" x14ac:dyDescent="0.3">
      <c r="A98" s="1">
        <v>44025.831122685187</v>
      </c>
      <c r="B98" t="s">
        <v>11</v>
      </c>
      <c r="C98">
        <v>21</v>
      </c>
      <c r="D98" t="s">
        <v>30</v>
      </c>
      <c r="E98" t="s">
        <v>21</v>
      </c>
      <c r="F98" t="s">
        <v>27</v>
      </c>
      <c r="G98" t="s">
        <v>15</v>
      </c>
      <c r="H98" t="s">
        <v>15</v>
      </c>
      <c r="I98" t="s">
        <v>16</v>
      </c>
      <c r="J98" t="s">
        <v>15</v>
      </c>
      <c r="K98" t="s">
        <v>15</v>
      </c>
      <c r="L98" t="str">
        <f t="shared" si="2"/>
        <v>Yes</v>
      </c>
      <c r="M98" t="str">
        <f t="shared" si="3"/>
        <v>20-21</v>
      </c>
      <c r="N98" t="str">
        <f>TRIM(StudentData[[#This Row],[CGPA_Range]])</f>
        <v>3.50 - 4.00</v>
      </c>
    </row>
    <row r="99" spans="1:14" x14ac:dyDescent="0.3">
      <c r="A99" s="1">
        <v>44025.890069444446</v>
      </c>
      <c r="B99" t="s">
        <v>17</v>
      </c>
      <c r="C99">
        <v>18</v>
      </c>
      <c r="D99" t="s">
        <v>12</v>
      </c>
      <c r="E99" t="s">
        <v>26</v>
      </c>
      <c r="F99" t="s">
        <v>14</v>
      </c>
      <c r="G99" t="s">
        <v>15</v>
      </c>
      <c r="H99" t="s">
        <v>16</v>
      </c>
      <c r="I99" t="s">
        <v>16</v>
      </c>
      <c r="J99" t="s">
        <v>15</v>
      </c>
      <c r="K99" t="s">
        <v>15</v>
      </c>
      <c r="L99" t="str">
        <f t="shared" si="2"/>
        <v>Yes</v>
      </c>
      <c r="M99" t="str">
        <f t="shared" si="3"/>
        <v>18-19</v>
      </c>
      <c r="N99" t="str">
        <f>TRIM(StudentData[[#This Row],[CGPA_Range]])</f>
        <v>3.00 - 3.49</v>
      </c>
    </row>
    <row r="100" spans="1:14" x14ac:dyDescent="0.3">
      <c r="A100" s="1">
        <v>44025.890925925924</v>
      </c>
      <c r="B100" t="s">
        <v>11</v>
      </c>
      <c r="C100">
        <v>19</v>
      </c>
      <c r="D100" t="s">
        <v>75</v>
      </c>
      <c r="E100" t="s">
        <v>35</v>
      </c>
      <c r="F100" t="s">
        <v>27</v>
      </c>
      <c r="G100" t="s">
        <v>16</v>
      </c>
      <c r="H100" t="s">
        <v>16</v>
      </c>
      <c r="I100" t="s">
        <v>15</v>
      </c>
      <c r="J100" t="s">
        <v>16</v>
      </c>
      <c r="K100" t="s">
        <v>15</v>
      </c>
      <c r="L100" t="str">
        <f t="shared" si="2"/>
        <v>Yes</v>
      </c>
      <c r="M100" t="str">
        <f t="shared" si="3"/>
        <v>18-19</v>
      </c>
      <c r="N100" t="str">
        <f>TRIM(StudentData[[#This Row],[CGPA_Range]])</f>
        <v>3.50 - 4.00</v>
      </c>
    </row>
    <row r="101" spans="1:14" x14ac:dyDescent="0.3">
      <c r="A101" s="1">
        <v>44025.891631944447</v>
      </c>
      <c r="B101" t="s">
        <v>11</v>
      </c>
      <c r="C101">
        <v>23</v>
      </c>
      <c r="D101" t="s">
        <v>67</v>
      </c>
      <c r="E101" t="s">
        <v>85</v>
      </c>
      <c r="F101" t="s">
        <v>27</v>
      </c>
      <c r="G101" t="s">
        <v>15</v>
      </c>
      <c r="H101" t="s">
        <v>15</v>
      </c>
      <c r="I101" t="s">
        <v>15</v>
      </c>
      <c r="J101" t="s">
        <v>15</v>
      </c>
      <c r="K101" t="s">
        <v>15</v>
      </c>
      <c r="L101" t="str">
        <f t="shared" si="2"/>
        <v>No</v>
      </c>
      <c r="M101" t="str">
        <f t="shared" si="3"/>
        <v>22+</v>
      </c>
      <c r="N101" t="str">
        <f>TRIM(StudentData[[#This Row],[CGPA_Range]])</f>
        <v>3.50 - 4.00</v>
      </c>
    </row>
    <row r="102" spans="1:14" x14ac:dyDescent="0.3">
      <c r="A102" s="1">
        <v>44030.844687500001</v>
      </c>
      <c r="B102" t="s">
        <v>17</v>
      </c>
      <c r="C102">
        <v>20</v>
      </c>
      <c r="D102" t="s">
        <v>51</v>
      </c>
      <c r="E102" t="s">
        <v>26</v>
      </c>
      <c r="F102" t="s">
        <v>14</v>
      </c>
      <c r="G102" t="s">
        <v>15</v>
      </c>
      <c r="H102" t="s">
        <v>15</v>
      </c>
      <c r="I102" t="s">
        <v>15</v>
      </c>
      <c r="J102" t="s">
        <v>15</v>
      </c>
      <c r="K102" t="s">
        <v>15</v>
      </c>
      <c r="L102" t="str">
        <f t="shared" si="2"/>
        <v>No</v>
      </c>
      <c r="M102" t="str">
        <f t="shared" si="3"/>
        <v>20-21</v>
      </c>
      <c r="N102" t="str">
        <f>TRIM(StudentData[[#This Row],[CGPA_Range]])</f>
        <v>3.00 - 3.49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3A02-48DF-43B9-A47A-AEB6BBD3726B}">
  <dimension ref="A1:K102"/>
  <sheetViews>
    <sheetView workbookViewId="0">
      <selection activeCell="A2" sqref="A2"/>
    </sheetView>
  </sheetViews>
  <sheetFormatPr defaultRowHeight="14.4" x14ac:dyDescent="0.3"/>
  <cols>
    <col min="1" max="1" width="15.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44020.501388888886</v>
      </c>
      <c r="B2" t="s">
        <v>11</v>
      </c>
      <c r="C2">
        <v>18</v>
      </c>
      <c r="D2" t="s">
        <v>12</v>
      </c>
      <c r="E2" t="s">
        <v>13</v>
      </c>
      <c r="F2" t="s">
        <v>14</v>
      </c>
      <c r="G2" t="s">
        <v>15</v>
      </c>
      <c r="H2" t="s">
        <v>16</v>
      </c>
      <c r="I2" t="s">
        <v>15</v>
      </c>
      <c r="J2" t="s">
        <v>16</v>
      </c>
      <c r="K2" t="s">
        <v>15</v>
      </c>
    </row>
    <row r="3" spans="1:11" x14ac:dyDescent="0.3">
      <c r="A3" s="1">
        <v>44020.50277777778</v>
      </c>
      <c r="B3" t="s">
        <v>17</v>
      </c>
      <c r="C3">
        <v>21</v>
      </c>
      <c r="D3" t="s">
        <v>18</v>
      </c>
      <c r="E3" t="s">
        <v>19</v>
      </c>
      <c r="F3" t="s">
        <v>14</v>
      </c>
      <c r="G3" t="s">
        <v>15</v>
      </c>
      <c r="H3" t="s">
        <v>15</v>
      </c>
      <c r="I3" t="s">
        <v>16</v>
      </c>
      <c r="J3" t="s">
        <v>15</v>
      </c>
      <c r="K3" t="s">
        <v>15</v>
      </c>
    </row>
    <row r="4" spans="1:11" x14ac:dyDescent="0.3">
      <c r="A4" s="1">
        <v>44020.503472222219</v>
      </c>
      <c r="B4" t="s">
        <v>17</v>
      </c>
      <c r="C4">
        <v>19</v>
      </c>
      <c r="D4" t="s">
        <v>20</v>
      </c>
      <c r="E4" t="s">
        <v>21</v>
      </c>
      <c r="F4" t="s">
        <v>14</v>
      </c>
      <c r="G4" t="s">
        <v>15</v>
      </c>
      <c r="H4" t="s">
        <v>16</v>
      </c>
      <c r="I4" t="s">
        <v>16</v>
      </c>
      <c r="J4" t="s">
        <v>16</v>
      </c>
      <c r="K4" t="s">
        <v>15</v>
      </c>
    </row>
    <row r="5" spans="1:11" x14ac:dyDescent="0.3">
      <c r="A5" s="1">
        <v>44020.504166666666</v>
      </c>
      <c r="B5" t="s">
        <v>11</v>
      </c>
      <c r="C5">
        <v>22</v>
      </c>
      <c r="D5" t="s">
        <v>22</v>
      </c>
      <c r="E5" t="s">
        <v>23</v>
      </c>
      <c r="F5" t="s">
        <v>14</v>
      </c>
      <c r="G5" t="s">
        <v>16</v>
      </c>
      <c r="H5" t="s">
        <v>16</v>
      </c>
      <c r="I5" t="s">
        <v>15</v>
      </c>
      <c r="J5" t="s">
        <v>15</v>
      </c>
      <c r="K5" t="s">
        <v>15</v>
      </c>
    </row>
    <row r="6" spans="1:11" x14ac:dyDescent="0.3">
      <c r="A6" s="1">
        <v>44020.509027777778</v>
      </c>
      <c r="B6" t="s">
        <v>17</v>
      </c>
      <c r="C6">
        <v>23</v>
      </c>
      <c r="D6" t="s">
        <v>24</v>
      </c>
      <c r="E6" t="s">
        <v>25</v>
      </c>
      <c r="F6" t="s">
        <v>14</v>
      </c>
      <c r="G6" t="s">
        <v>15</v>
      </c>
      <c r="H6" t="s">
        <v>15</v>
      </c>
      <c r="I6" t="s">
        <v>15</v>
      </c>
      <c r="J6" t="s">
        <v>15</v>
      </c>
      <c r="K6" t="s">
        <v>15</v>
      </c>
    </row>
    <row r="7" spans="1:11" x14ac:dyDescent="0.3">
      <c r="A7" s="1">
        <v>44020.521527777775</v>
      </c>
      <c r="B7" t="s">
        <v>17</v>
      </c>
      <c r="C7">
        <v>19</v>
      </c>
      <c r="D7" t="s">
        <v>12</v>
      </c>
      <c r="E7" t="s">
        <v>26</v>
      </c>
      <c r="F7" t="s">
        <v>27</v>
      </c>
      <c r="G7" t="s">
        <v>15</v>
      </c>
      <c r="H7" t="s">
        <v>15</v>
      </c>
      <c r="I7" t="s">
        <v>15</v>
      </c>
      <c r="J7" t="s">
        <v>16</v>
      </c>
      <c r="K7" t="s">
        <v>15</v>
      </c>
    </row>
    <row r="8" spans="1:11" x14ac:dyDescent="0.3">
      <c r="A8" s="1">
        <v>44020.522222222222</v>
      </c>
      <c r="B8" t="s">
        <v>11</v>
      </c>
      <c r="C8">
        <v>23</v>
      </c>
      <c r="D8" t="s">
        <v>28</v>
      </c>
      <c r="E8" t="s">
        <v>19</v>
      </c>
      <c r="F8" t="s">
        <v>29</v>
      </c>
      <c r="G8" t="s">
        <v>16</v>
      </c>
      <c r="H8" t="s">
        <v>16</v>
      </c>
      <c r="I8" t="s">
        <v>15</v>
      </c>
      <c r="J8" t="s">
        <v>16</v>
      </c>
      <c r="K8" t="s">
        <v>15</v>
      </c>
    </row>
    <row r="9" spans="1:11" x14ac:dyDescent="0.3">
      <c r="A9" s="1">
        <v>44020.522916666669</v>
      </c>
      <c r="B9" t="s">
        <v>11</v>
      </c>
      <c r="C9">
        <v>18</v>
      </c>
      <c r="D9" t="s">
        <v>30</v>
      </c>
      <c r="E9" t="s">
        <v>13</v>
      </c>
      <c r="F9" t="s">
        <v>27</v>
      </c>
      <c r="G9" t="s">
        <v>15</v>
      </c>
      <c r="H9" t="s">
        <v>15</v>
      </c>
      <c r="I9" t="s">
        <v>16</v>
      </c>
      <c r="J9" t="s">
        <v>15</v>
      </c>
      <c r="K9" t="s">
        <v>15</v>
      </c>
    </row>
    <row r="10" spans="1:11" x14ac:dyDescent="0.3">
      <c r="A10" s="1">
        <v>44020.524305555555</v>
      </c>
      <c r="B10" t="s">
        <v>11</v>
      </c>
      <c r="C10">
        <v>19</v>
      </c>
      <c r="D10" t="s">
        <v>31</v>
      </c>
      <c r="E10" t="s">
        <v>26</v>
      </c>
      <c r="F10" t="s">
        <v>32</v>
      </c>
      <c r="G10" t="s">
        <v>15</v>
      </c>
      <c r="H10" t="s">
        <v>15</v>
      </c>
      <c r="I10" t="s">
        <v>15</v>
      </c>
      <c r="J10" t="s">
        <v>15</v>
      </c>
      <c r="K10" t="s">
        <v>15</v>
      </c>
    </row>
    <row r="11" spans="1:11" x14ac:dyDescent="0.3">
      <c r="A11" s="1">
        <v>44020.527083333334</v>
      </c>
      <c r="B11" t="s">
        <v>17</v>
      </c>
      <c r="C11">
        <v>18</v>
      </c>
      <c r="D11" t="s">
        <v>33</v>
      </c>
      <c r="E11" t="s">
        <v>13</v>
      </c>
      <c r="F11" t="s">
        <v>27</v>
      </c>
      <c r="G11" t="s">
        <v>15</v>
      </c>
      <c r="H11" t="s">
        <v>15</v>
      </c>
      <c r="I11" t="s">
        <v>16</v>
      </c>
      <c r="J11" t="s">
        <v>16</v>
      </c>
      <c r="K11" t="s">
        <v>15</v>
      </c>
    </row>
    <row r="12" spans="1:11" x14ac:dyDescent="0.3">
      <c r="A12" s="1">
        <v>44020.527083333334</v>
      </c>
      <c r="B12" t="s">
        <v>11</v>
      </c>
      <c r="C12">
        <v>20</v>
      </c>
      <c r="D12" t="s">
        <v>34</v>
      </c>
      <c r="E12" t="s">
        <v>13</v>
      </c>
      <c r="F12" t="s">
        <v>27</v>
      </c>
      <c r="G12" t="s">
        <v>15</v>
      </c>
      <c r="H12" t="s">
        <v>15</v>
      </c>
      <c r="I12" t="s">
        <v>15</v>
      </c>
      <c r="J12" t="s">
        <v>15</v>
      </c>
      <c r="K12" t="s">
        <v>15</v>
      </c>
    </row>
    <row r="13" spans="1:11" x14ac:dyDescent="0.3">
      <c r="A13" s="1">
        <v>44020.527083333334</v>
      </c>
      <c r="B13" t="s">
        <v>11</v>
      </c>
      <c r="C13">
        <v>24</v>
      </c>
      <c r="D13" t="s">
        <v>12</v>
      </c>
      <c r="E13" t="s">
        <v>35</v>
      </c>
      <c r="F13" t="s">
        <v>27</v>
      </c>
      <c r="G13" t="s">
        <v>16</v>
      </c>
      <c r="H13" t="s">
        <v>16</v>
      </c>
      <c r="I13" t="s">
        <v>15</v>
      </c>
      <c r="J13" t="s">
        <v>15</v>
      </c>
      <c r="K13" t="s">
        <v>15</v>
      </c>
    </row>
    <row r="14" spans="1:11" x14ac:dyDescent="0.3">
      <c r="A14" s="1">
        <v>44020.527777777781</v>
      </c>
      <c r="B14" t="s">
        <v>11</v>
      </c>
      <c r="C14">
        <v>18</v>
      </c>
      <c r="D14" t="s">
        <v>30</v>
      </c>
      <c r="E14" t="s">
        <v>13</v>
      </c>
      <c r="F14" t="s">
        <v>14</v>
      </c>
      <c r="G14" t="s">
        <v>15</v>
      </c>
      <c r="H14" t="s">
        <v>16</v>
      </c>
      <c r="I14" t="s">
        <v>15</v>
      </c>
      <c r="J14" t="s">
        <v>15</v>
      </c>
      <c r="K14" t="s">
        <v>15</v>
      </c>
    </row>
    <row r="15" spans="1:11" x14ac:dyDescent="0.3">
      <c r="A15" s="1">
        <v>44020.52847222222</v>
      </c>
      <c r="B15" t="s">
        <v>17</v>
      </c>
      <c r="C15">
        <v>19</v>
      </c>
      <c r="D15" t="s">
        <v>12</v>
      </c>
      <c r="E15" t="s">
        <v>13</v>
      </c>
      <c r="F15" t="s">
        <v>14</v>
      </c>
      <c r="G15" t="s">
        <v>15</v>
      </c>
      <c r="H15" t="s">
        <v>15</v>
      </c>
      <c r="I15" t="s">
        <v>15</v>
      </c>
      <c r="J15" t="s">
        <v>15</v>
      </c>
      <c r="K15" t="s">
        <v>15</v>
      </c>
    </row>
    <row r="16" spans="1:11" x14ac:dyDescent="0.3">
      <c r="A16" s="1">
        <v>44020.529861111114</v>
      </c>
      <c r="B16" t="s">
        <v>11</v>
      </c>
      <c r="C16">
        <v>18</v>
      </c>
      <c r="D16" t="s">
        <v>36</v>
      </c>
      <c r="E16" t="s">
        <v>26</v>
      </c>
      <c r="F16" t="s">
        <v>27</v>
      </c>
      <c r="G16" t="s">
        <v>15</v>
      </c>
      <c r="H16" t="s">
        <v>15</v>
      </c>
      <c r="I16" t="s">
        <v>16</v>
      </c>
      <c r="J16" t="s">
        <v>15</v>
      </c>
      <c r="K16" t="s">
        <v>15</v>
      </c>
    </row>
    <row r="17" spans="1:11" x14ac:dyDescent="0.3">
      <c r="A17" s="1">
        <v>44020.529861111114</v>
      </c>
      <c r="B17" t="s">
        <v>17</v>
      </c>
      <c r="C17">
        <v>24</v>
      </c>
      <c r="D17" t="s">
        <v>30</v>
      </c>
      <c r="E17" t="s">
        <v>35</v>
      </c>
      <c r="F17" t="s">
        <v>27</v>
      </c>
      <c r="G17" t="s">
        <v>15</v>
      </c>
      <c r="H17" t="s">
        <v>15</v>
      </c>
      <c r="I17" t="s">
        <v>15</v>
      </c>
      <c r="J17" t="s">
        <v>15</v>
      </c>
      <c r="K17" t="s">
        <v>15</v>
      </c>
    </row>
    <row r="18" spans="1:11" x14ac:dyDescent="0.3">
      <c r="A18" s="1">
        <v>44020.531944444447</v>
      </c>
      <c r="B18" t="s">
        <v>11</v>
      </c>
      <c r="C18">
        <v>24</v>
      </c>
      <c r="D18" t="s">
        <v>37</v>
      </c>
      <c r="E18" t="s">
        <v>23</v>
      </c>
      <c r="F18" t="s">
        <v>14</v>
      </c>
      <c r="G18" t="s">
        <v>15</v>
      </c>
      <c r="H18" t="s">
        <v>15</v>
      </c>
      <c r="I18" t="s">
        <v>15</v>
      </c>
      <c r="J18" t="s">
        <v>15</v>
      </c>
      <c r="K18" t="s">
        <v>15</v>
      </c>
    </row>
    <row r="19" spans="1:11" x14ac:dyDescent="0.3">
      <c r="A19" s="1">
        <v>44020.536111111112</v>
      </c>
      <c r="B19" t="s">
        <v>11</v>
      </c>
      <c r="C19">
        <v>24</v>
      </c>
      <c r="D19" t="s">
        <v>38</v>
      </c>
      <c r="E19" t="s">
        <v>25</v>
      </c>
      <c r="F19" t="s">
        <v>14</v>
      </c>
      <c r="G19" t="s">
        <v>16</v>
      </c>
      <c r="H19" t="s">
        <v>16</v>
      </c>
      <c r="I19" t="s">
        <v>16</v>
      </c>
      <c r="J19" t="s">
        <v>16</v>
      </c>
      <c r="K19" t="s">
        <v>15</v>
      </c>
    </row>
    <row r="20" spans="1:11" x14ac:dyDescent="0.3">
      <c r="A20" s="1">
        <v>44020.545138888891</v>
      </c>
      <c r="B20" t="s">
        <v>11</v>
      </c>
      <c r="C20">
        <v>20</v>
      </c>
      <c r="D20" t="s">
        <v>20</v>
      </c>
      <c r="E20" t="s">
        <v>26</v>
      </c>
      <c r="F20" t="s">
        <v>27</v>
      </c>
      <c r="G20" t="s">
        <v>15</v>
      </c>
      <c r="H20" t="s">
        <v>15</v>
      </c>
      <c r="I20" t="s">
        <v>16</v>
      </c>
      <c r="J20" t="s">
        <v>15</v>
      </c>
      <c r="K20" t="s">
        <v>15</v>
      </c>
    </row>
    <row r="21" spans="1:11" x14ac:dyDescent="0.3">
      <c r="A21" s="1">
        <v>44020.546527777777</v>
      </c>
      <c r="B21" t="s">
        <v>11</v>
      </c>
      <c r="C21">
        <v>18</v>
      </c>
      <c r="D21" t="s">
        <v>39</v>
      </c>
      <c r="E21" t="s">
        <v>19</v>
      </c>
      <c r="F21" t="s">
        <v>27</v>
      </c>
      <c r="G21" t="s">
        <v>16</v>
      </c>
      <c r="H21" t="s">
        <v>16</v>
      </c>
      <c r="I21" t="s">
        <v>16</v>
      </c>
      <c r="J21" t="s">
        <v>16</v>
      </c>
      <c r="K21" t="s">
        <v>15</v>
      </c>
    </row>
    <row r="22" spans="1:11" x14ac:dyDescent="0.3">
      <c r="A22" s="1">
        <v>44020.55</v>
      </c>
      <c r="B22" t="s">
        <v>11</v>
      </c>
      <c r="C22">
        <v>19</v>
      </c>
      <c r="D22" t="s">
        <v>12</v>
      </c>
      <c r="E22" t="s">
        <v>13</v>
      </c>
      <c r="F22" t="s">
        <v>14</v>
      </c>
      <c r="G22" t="s">
        <v>15</v>
      </c>
      <c r="H22" t="s">
        <v>15</v>
      </c>
      <c r="I22" t="s">
        <v>15</v>
      </c>
      <c r="J22" t="s">
        <v>16</v>
      </c>
      <c r="K22" t="s">
        <v>15</v>
      </c>
    </row>
    <row r="23" spans="1:11" x14ac:dyDescent="0.3">
      <c r="A23" s="1">
        <v>44020.550694444442</v>
      </c>
      <c r="B23" t="s">
        <v>11</v>
      </c>
      <c r="C23">
        <v>18</v>
      </c>
      <c r="D23" t="s">
        <v>40</v>
      </c>
      <c r="E23" t="s">
        <v>26</v>
      </c>
      <c r="F23" t="s">
        <v>14</v>
      </c>
      <c r="G23" t="s">
        <v>15</v>
      </c>
      <c r="H23" t="s">
        <v>15</v>
      </c>
      <c r="I23" t="s">
        <v>15</v>
      </c>
      <c r="J23" t="s">
        <v>15</v>
      </c>
      <c r="K23" t="s">
        <v>15</v>
      </c>
    </row>
    <row r="24" spans="1:11" x14ac:dyDescent="0.3">
      <c r="A24" s="1">
        <v>44020.550694444442</v>
      </c>
      <c r="B24" t="s">
        <v>11</v>
      </c>
      <c r="C24">
        <v>24</v>
      </c>
      <c r="D24" t="s">
        <v>30</v>
      </c>
      <c r="E24" t="s">
        <v>13</v>
      </c>
      <c r="F24" t="s">
        <v>27</v>
      </c>
      <c r="G24" t="s">
        <v>15</v>
      </c>
      <c r="H24" t="s">
        <v>15</v>
      </c>
      <c r="I24" t="s">
        <v>15</v>
      </c>
      <c r="J24" t="s">
        <v>15</v>
      </c>
      <c r="K24" t="s">
        <v>15</v>
      </c>
    </row>
    <row r="25" spans="1:11" x14ac:dyDescent="0.3">
      <c r="A25" s="1">
        <v>44020.552083333336</v>
      </c>
      <c r="B25" t="s">
        <v>11</v>
      </c>
      <c r="C25">
        <v>24</v>
      </c>
      <c r="D25" t="s">
        <v>12</v>
      </c>
      <c r="E25" t="s">
        <v>13</v>
      </c>
      <c r="F25" t="s">
        <v>14</v>
      </c>
      <c r="G25" t="s">
        <v>15</v>
      </c>
      <c r="H25" t="s">
        <v>15</v>
      </c>
      <c r="I25" t="s">
        <v>15</v>
      </c>
      <c r="J25" t="s">
        <v>15</v>
      </c>
      <c r="K25" t="s">
        <v>15</v>
      </c>
    </row>
    <row r="26" spans="1:11" x14ac:dyDescent="0.3">
      <c r="A26" s="1">
        <v>44020.553472222222</v>
      </c>
      <c r="B26" t="s">
        <v>11</v>
      </c>
      <c r="C26">
        <v>23</v>
      </c>
      <c r="D26" t="s">
        <v>30</v>
      </c>
      <c r="E26" t="s">
        <v>35</v>
      </c>
      <c r="F26" t="s">
        <v>27</v>
      </c>
      <c r="G26" t="s">
        <v>15</v>
      </c>
      <c r="H26" t="s">
        <v>16</v>
      </c>
      <c r="I26" t="s">
        <v>16</v>
      </c>
      <c r="J26" t="s">
        <v>16</v>
      </c>
      <c r="K26" t="s">
        <v>15</v>
      </c>
    </row>
    <row r="27" spans="1:11" x14ac:dyDescent="0.3">
      <c r="A27" s="1">
        <v>44020.561805555553</v>
      </c>
      <c r="B27" t="s">
        <v>11</v>
      </c>
      <c r="C27">
        <v>18</v>
      </c>
      <c r="D27" t="s">
        <v>41</v>
      </c>
      <c r="E27" t="s">
        <v>13</v>
      </c>
      <c r="F27" t="s">
        <v>27</v>
      </c>
      <c r="G27" t="s">
        <v>15</v>
      </c>
      <c r="H27" t="s">
        <v>15</v>
      </c>
      <c r="I27" t="s">
        <v>15</v>
      </c>
      <c r="J27" t="s">
        <v>15</v>
      </c>
      <c r="K27" t="s">
        <v>15</v>
      </c>
    </row>
    <row r="28" spans="1:11" x14ac:dyDescent="0.3">
      <c r="A28" s="1">
        <v>44020.565972222219</v>
      </c>
      <c r="B28" t="s">
        <v>11</v>
      </c>
      <c r="C28">
        <v>19</v>
      </c>
      <c r="D28" t="s">
        <v>12</v>
      </c>
      <c r="E28" t="s">
        <v>13</v>
      </c>
      <c r="F28" t="s">
        <v>27</v>
      </c>
      <c r="G28" t="s">
        <v>15</v>
      </c>
      <c r="H28" t="s">
        <v>15</v>
      </c>
      <c r="I28" t="s">
        <v>15</v>
      </c>
      <c r="J28" t="s">
        <v>15</v>
      </c>
      <c r="K28" t="s">
        <v>15</v>
      </c>
    </row>
    <row r="29" spans="1:11" x14ac:dyDescent="0.3">
      <c r="A29" s="1">
        <v>44020.570138888892</v>
      </c>
      <c r="B29" t="s">
        <v>17</v>
      </c>
      <c r="C29">
        <v>18</v>
      </c>
      <c r="D29" t="s">
        <v>12</v>
      </c>
      <c r="E29" t="s">
        <v>26</v>
      </c>
      <c r="F29" t="s">
        <v>14</v>
      </c>
      <c r="G29" t="s">
        <v>16</v>
      </c>
      <c r="H29" t="s">
        <v>16</v>
      </c>
      <c r="I29" t="s">
        <v>16</v>
      </c>
      <c r="J29" t="s">
        <v>15</v>
      </c>
      <c r="K29" t="s">
        <v>15</v>
      </c>
    </row>
    <row r="30" spans="1:11" x14ac:dyDescent="0.3">
      <c r="A30" s="1">
        <v>44020.581944444442</v>
      </c>
      <c r="B30" t="s">
        <v>11</v>
      </c>
      <c r="C30">
        <v>24</v>
      </c>
      <c r="D30" t="s">
        <v>20</v>
      </c>
      <c r="E30" t="s">
        <v>35</v>
      </c>
      <c r="F30" t="s">
        <v>27</v>
      </c>
      <c r="G30" t="s">
        <v>16</v>
      </c>
      <c r="H30" t="s">
        <v>16</v>
      </c>
      <c r="I30" t="s">
        <v>16</v>
      </c>
      <c r="J30" t="s">
        <v>16</v>
      </c>
      <c r="K30" t="s">
        <v>16</v>
      </c>
    </row>
    <row r="31" spans="1:11" x14ac:dyDescent="0.3">
      <c r="A31" s="1">
        <v>44020.586805555555</v>
      </c>
      <c r="B31" t="s">
        <v>11</v>
      </c>
      <c r="C31">
        <v>24</v>
      </c>
      <c r="D31" t="s">
        <v>30</v>
      </c>
      <c r="E31" t="s">
        <v>25</v>
      </c>
      <c r="F31" t="s">
        <v>27</v>
      </c>
      <c r="G31" t="s">
        <v>15</v>
      </c>
      <c r="H31" t="s">
        <v>15</v>
      </c>
      <c r="I31" t="s">
        <v>15</v>
      </c>
      <c r="J31" t="s">
        <v>15</v>
      </c>
      <c r="K31" t="s">
        <v>15</v>
      </c>
    </row>
    <row r="32" spans="1:11" x14ac:dyDescent="0.3">
      <c r="A32" s="1">
        <v>44020.602083333331</v>
      </c>
      <c r="B32" t="s">
        <v>11</v>
      </c>
      <c r="C32">
        <v>23</v>
      </c>
      <c r="D32" t="s">
        <v>42</v>
      </c>
      <c r="E32" t="s">
        <v>26</v>
      </c>
      <c r="F32" t="s">
        <v>14</v>
      </c>
      <c r="G32" t="s">
        <v>15</v>
      </c>
      <c r="H32" t="s">
        <v>15</v>
      </c>
      <c r="I32" t="s">
        <v>15</v>
      </c>
      <c r="J32" t="s">
        <v>15</v>
      </c>
      <c r="K32" t="s">
        <v>15</v>
      </c>
    </row>
    <row r="33" spans="1:11" x14ac:dyDescent="0.3">
      <c r="A33" s="1">
        <v>44020.603472222225</v>
      </c>
      <c r="B33" t="s">
        <v>17</v>
      </c>
      <c r="C33">
        <v>18</v>
      </c>
      <c r="D33" t="s">
        <v>30</v>
      </c>
      <c r="E33" t="s">
        <v>19</v>
      </c>
      <c r="F33" t="s">
        <v>14</v>
      </c>
      <c r="G33" t="s">
        <v>15</v>
      </c>
      <c r="H33" t="s">
        <v>15</v>
      </c>
      <c r="I33" t="s">
        <v>15</v>
      </c>
      <c r="J33" t="s">
        <v>15</v>
      </c>
      <c r="K33" t="s">
        <v>15</v>
      </c>
    </row>
    <row r="34" spans="1:11" x14ac:dyDescent="0.3">
      <c r="A34" s="1">
        <v>44020.603472222225</v>
      </c>
      <c r="B34" t="s">
        <v>17</v>
      </c>
      <c r="C34">
        <v>19</v>
      </c>
      <c r="D34" t="s">
        <v>30</v>
      </c>
      <c r="E34" t="s">
        <v>13</v>
      </c>
      <c r="F34" t="s">
        <v>27</v>
      </c>
      <c r="G34" t="s">
        <v>15</v>
      </c>
      <c r="H34" t="s">
        <v>15</v>
      </c>
      <c r="I34" t="s">
        <v>15</v>
      </c>
      <c r="J34" t="s">
        <v>16</v>
      </c>
      <c r="K34" t="s">
        <v>15</v>
      </c>
    </row>
    <row r="35" spans="1:11" x14ac:dyDescent="0.3">
      <c r="A35" s="1">
        <v>44020.604861111111</v>
      </c>
      <c r="B35" t="s">
        <v>17</v>
      </c>
      <c r="C35">
        <v>18</v>
      </c>
      <c r="D35" t="s">
        <v>30</v>
      </c>
      <c r="E35" t="s">
        <v>26</v>
      </c>
      <c r="F35" t="s">
        <v>27</v>
      </c>
      <c r="G35" t="s">
        <v>16</v>
      </c>
      <c r="H35" t="s">
        <v>16</v>
      </c>
      <c r="I35" t="s">
        <v>16</v>
      </c>
      <c r="J35" t="s">
        <v>15</v>
      </c>
      <c r="K35" t="s">
        <v>16</v>
      </c>
    </row>
    <row r="36" spans="1:11" x14ac:dyDescent="0.3">
      <c r="A36" s="1">
        <v>44020.611805555556</v>
      </c>
      <c r="B36" t="s">
        <v>11</v>
      </c>
      <c r="C36">
        <v>19</v>
      </c>
      <c r="D36" t="s">
        <v>20</v>
      </c>
      <c r="E36" t="s">
        <v>13</v>
      </c>
      <c r="F36" t="s">
        <v>14</v>
      </c>
      <c r="G36" t="s">
        <v>15</v>
      </c>
      <c r="H36" t="s">
        <v>16</v>
      </c>
      <c r="I36" t="s">
        <v>16</v>
      </c>
      <c r="J36" t="s">
        <v>16</v>
      </c>
      <c r="K36" t="s">
        <v>15</v>
      </c>
    </row>
    <row r="37" spans="1:11" x14ac:dyDescent="0.3">
      <c r="A37" s="1">
        <v>44020.613194444442</v>
      </c>
      <c r="B37" t="s">
        <v>11</v>
      </c>
      <c r="C37">
        <v>18</v>
      </c>
      <c r="D37" t="s">
        <v>12</v>
      </c>
      <c r="E37" t="s">
        <v>13</v>
      </c>
      <c r="F37" t="s">
        <v>43</v>
      </c>
      <c r="G37" t="s">
        <v>15</v>
      </c>
      <c r="H37" t="s">
        <v>15</v>
      </c>
      <c r="I37" t="s">
        <v>15</v>
      </c>
      <c r="J37" t="s">
        <v>15</v>
      </c>
      <c r="K37" t="s">
        <v>15</v>
      </c>
    </row>
    <row r="38" spans="1:11" x14ac:dyDescent="0.3">
      <c r="A38" s="1">
        <v>44020.613194444442</v>
      </c>
      <c r="B38" t="s">
        <v>11</v>
      </c>
      <c r="C38">
        <v>18</v>
      </c>
      <c r="D38" t="s">
        <v>44</v>
      </c>
      <c r="E38" t="s">
        <v>35</v>
      </c>
      <c r="F38" t="s">
        <v>14</v>
      </c>
      <c r="G38" t="s">
        <v>15</v>
      </c>
      <c r="H38" t="s">
        <v>16</v>
      </c>
      <c r="I38" t="s">
        <v>16</v>
      </c>
      <c r="J38" t="s">
        <v>15</v>
      </c>
      <c r="K38" t="s">
        <v>15</v>
      </c>
    </row>
    <row r="39" spans="1:11" x14ac:dyDescent="0.3">
      <c r="A39" s="1">
        <v>44020.614583333336</v>
      </c>
      <c r="B39" t="s">
        <v>11</v>
      </c>
      <c r="C39">
        <v>19</v>
      </c>
      <c r="D39" t="s">
        <v>20</v>
      </c>
      <c r="E39" t="s">
        <v>13</v>
      </c>
      <c r="F39" t="s">
        <v>32</v>
      </c>
      <c r="G39" t="s">
        <v>15</v>
      </c>
      <c r="H39" t="s">
        <v>16</v>
      </c>
      <c r="I39" t="s">
        <v>16</v>
      </c>
      <c r="J39" t="s">
        <v>16</v>
      </c>
      <c r="K39" t="s">
        <v>15</v>
      </c>
    </row>
    <row r="40" spans="1:11" x14ac:dyDescent="0.3">
      <c r="A40" s="1">
        <v>44020.615972222222</v>
      </c>
      <c r="B40" t="s">
        <v>11</v>
      </c>
      <c r="C40">
        <v>18</v>
      </c>
      <c r="D40" t="s">
        <v>45</v>
      </c>
      <c r="E40" t="s">
        <v>13</v>
      </c>
      <c r="F40" t="s">
        <v>27</v>
      </c>
      <c r="G40" t="s">
        <v>15</v>
      </c>
      <c r="H40" t="s">
        <v>15</v>
      </c>
      <c r="I40" t="s">
        <v>15</v>
      </c>
      <c r="J40" t="s">
        <v>15</v>
      </c>
      <c r="K40" t="s">
        <v>15</v>
      </c>
    </row>
    <row r="41" spans="1:11" x14ac:dyDescent="0.3">
      <c r="A41" s="1">
        <v>44020.62222222222</v>
      </c>
      <c r="B41" t="s">
        <v>11</v>
      </c>
      <c r="C41">
        <v>24</v>
      </c>
      <c r="D41" t="s">
        <v>12</v>
      </c>
      <c r="E41" t="s">
        <v>26</v>
      </c>
      <c r="F41" t="s">
        <v>32</v>
      </c>
      <c r="G41" t="s">
        <v>16</v>
      </c>
      <c r="H41" t="s">
        <v>16</v>
      </c>
      <c r="I41" t="s">
        <v>15</v>
      </c>
      <c r="J41" t="s">
        <v>16</v>
      </c>
      <c r="K41" t="s">
        <v>16</v>
      </c>
    </row>
    <row r="42" spans="1:11" x14ac:dyDescent="0.3">
      <c r="A42" s="1">
        <v>44020.622916666667</v>
      </c>
      <c r="B42" t="s">
        <v>11</v>
      </c>
      <c r="C42">
        <v>24</v>
      </c>
      <c r="D42" t="s">
        <v>20</v>
      </c>
      <c r="E42" t="s">
        <v>35</v>
      </c>
      <c r="F42" t="s">
        <v>14</v>
      </c>
      <c r="G42" t="s">
        <v>15</v>
      </c>
      <c r="H42" t="s">
        <v>15</v>
      </c>
      <c r="I42" t="s">
        <v>16</v>
      </c>
      <c r="J42" t="s">
        <v>15</v>
      </c>
      <c r="K42" t="s">
        <v>15</v>
      </c>
    </row>
    <row r="43" spans="1:11" x14ac:dyDescent="0.3">
      <c r="A43" s="1">
        <v>44020.622916666667</v>
      </c>
      <c r="B43" t="s">
        <v>11</v>
      </c>
      <c r="C43">
        <v>22</v>
      </c>
      <c r="D43" t="s">
        <v>12</v>
      </c>
      <c r="E43" t="s">
        <v>25</v>
      </c>
      <c r="F43" t="s">
        <v>27</v>
      </c>
      <c r="G43" t="s">
        <v>15</v>
      </c>
      <c r="H43" t="s">
        <v>15</v>
      </c>
      <c r="I43" t="s">
        <v>15</v>
      </c>
      <c r="J43" t="s">
        <v>15</v>
      </c>
      <c r="K43" t="s">
        <v>15</v>
      </c>
    </row>
    <row r="44" spans="1:11" x14ac:dyDescent="0.3">
      <c r="A44" s="1">
        <v>44020.623611111114</v>
      </c>
      <c r="B44" t="s">
        <v>11</v>
      </c>
      <c r="C44">
        <v>20</v>
      </c>
      <c r="D44" t="s">
        <v>46</v>
      </c>
      <c r="E44" t="s">
        <v>19</v>
      </c>
      <c r="F44" t="s">
        <v>14</v>
      </c>
      <c r="G44" t="s">
        <v>15</v>
      </c>
      <c r="H44" t="s">
        <v>16</v>
      </c>
      <c r="I44" t="s">
        <v>15</v>
      </c>
      <c r="J44" t="s">
        <v>15</v>
      </c>
      <c r="K44" t="s">
        <v>15</v>
      </c>
    </row>
    <row r="45" spans="1:11" x14ac:dyDescent="0.3">
      <c r="A45" s="1">
        <v>44020.629861111112</v>
      </c>
      <c r="B45" t="s">
        <v>17</v>
      </c>
      <c r="D45" t="s">
        <v>20</v>
      </c>
      <c r="E45" t="s">
        <v>13</v>
      </c>
      <c r="F45" t="s">
        <v>47</v>
      </c>
      <c r="G45" t="s">
        <v>15</v>
      </c>
      <c r="H45" t="s">
        <v>15</v>
      </c>
      <c r="I45" t="s">
        <v>15</v>
      </c>
      <c r="J45" t="s">
        <v>15</v>
      </c>
      <c r="K45" t="s">
        <v>15</v>
      </c>
    </row>
    <row r="46" spans="1:11" x14ac:dyDescent="0.3">
      <c r="A46" s="1">
        <v>44020.630555555559</v>
      </c>
      <c r="B46" t="s">
        <v>17</v>
      </c>
      <c r="C46">
        <v>23</v>
      </c>
      <c r="D46" t="s">
        <v>48</v>
      </c>
      <c r="E46" t="s">
        <v>19</v>
      </c>
      <c r="F46" t="s">
        <v>27</v>
      </c>
      <c r="G46" t="s">
        <v>15</v>
      </c>
      <c r="H46" t="s">
        <v>15</v>
      </c>
      <c r="I46" t="s">
        <v>15</v>
      </c>
      <c r="J46" t="s">
        <v>16</v>
      </c>
      <c r="K46" t="s">
        <v>15</v>
      </c>
    </row>
    <row r="47" spans="1:11" x14ac:dyDescent="0.3">
      <c r="A47" s="1">
        <v>44020.631249999999</v>
      </c>
      <c r="B47" t="s">
        <v>17</v>
      </c>
      <c r="C47">
        <v>18</v>
      </c>
      <c r="D47" t="s">
        <v>30</v>
      </c>
      <c r="E47" t="s">
        <v>13</v>
      </c>
      <c r="F47" t="s">
        <v>27</v>
      </c>
      <c r="G47" t="s">
        <v>15</v>
      </c>
      <c r="H47" t="s">
        <v>15</v>
      </c>
      <c r="I47" t="s">
        <v>16</v>
      </c>
      <c r="J47" t="s">
        <v>16</v>
      </c>
      <c r="K47" t="s">
        <v>15</v>
      </c>
    </row>
    <row r="48" spans="1:11" x14ac:dyDescent="0.3">
      <c r="A48" s="1">
        <v>44020.633333333331</v>
      </c>
      <c r="B48" t="s">
        <v>11</v>
      </c>
      <c r="C48">
        <v>19</v>
      </c>
      <c r="D48" t="s">
        <v>12</v>
      </c>
      <c r="E48" t="s">
        <v>13</v>
      </c>
      <c r="F48" t="s">
        <v>27</v>
      </c>
      <c r="G48" t="s">
        <v>15</v>
      </c>
      <c r="H48" t="s">
        <v>15</v>
      </c>
      <c r="I48" t="s">
        <v>16</v>
      </c>
      <c r="J48" t="s">
        <v>15</v>
      </c>
      <c r="K48" t="s">
        <v>15</v>
      </c>
    </row>
    <row r="49" spans="1:11" x14ac:dyDescent="0.3">
      <c r="A49" s="1">
        <v>44020.634722222225</v>
      </c>
      <c r="B49" t="s">
        <v>11</v>
      </c>
      <c r="C49">
        <v>18</v>
      </c>
      <c r="D49" t="s">
        <v>49</v>
      </c>
      <c r="E49" t="s">
        <v>25</v>
      </c>
      <c r="F49" t="s">
        <v>27</v>
      </c>
      <c r="G49" t="s">
        <v>15</v>
      </c>
      <c r="H49" t="s">
        <v>15</v>
      </c>
      <c r="I49" t="s">
        <v>15</v>
      </c>
      <c r="J49" t="s">
        <v>15</v>
      </c>
      <c r="K49" t="s">
        <v>15</v>
      </c>
    </row>
    <row r="50" spans="1:11" x14ac:dyDescent="0.3">
      <c r="A50" s="1">
        <v>44020.634722222225</v>
      </c>
      <c r="B50" t="s">
        <v>17</v>
      </c>
      <c r="C50">
        <v>24</v>
      </c>
      <c r="D50" t="s">
        <v>30</v>
      </c>
      <c r="E50" t="s">
        <v>19</v>
      </c>
      <c r="F50" t="s">
        <v>14</v>
      </c>
      <c r="G50" t="s">
        <v>15</v>
      </c>
      <c r="H50" t="s">
        <v>16</v>
      </c>
      <c r="I50" t="s">
        <v>15</v>
      </c>
      <c r="J50" t="s">
        <v>15</v>
      </c>
      <c r="K50" t="s">
        <v>15</v>
      </c>
    </row>
    <row r="51" spans="1:11" x14ac:dyDescent="0.3">
      <c r="A51" s="1">
        <v>44020.637499999997</v>
      </c>
      <c r="B51" t="s">
        <v>11</v>
      </c>
      <c r="C51">
        <v>24</v>
      </c>
      <c r="D51" t="s">
        <v>30</v>
      </c>
      <c r="E51" t="s">
        <v>23</v>
      </c>
      <c r="F51" t="s">
        <v>27</v>
      </c>
      <c r="G51" t="s">
        <v>15</v>
      </c>
      <c r="H51" t="s">
        <v>15</v>
      </c>
      <c r="I51" t="s">
        <v>15</v>
      </c>
      <c r="J51" t="s">
        <v>16</v>
      </c>
      <c r="K51" t="s">
        <v>15</v>
      </c>
    </row>
    <row r="52" spans="1:11" x14ac:dyDescent="0.3">
      <c r="A52" s="1">
        <v>44020.643750000003</v>
      </c>
      <c r="B52" t="s">
        <v>11</v>
      </c>
      <c r="C52">
        <v>23</v>
      </c>
      <c r="D52" t="s">
        <v>50</v>
      </c>
      <c r="E52" t="s">
        <v>13</v>
      </c>
      <c r="F52" t="s">
        <v>32</v>
      </c>
      <c r="G52" t="s">
        <v>16</v>
      </c>
      <c r="H52" t="s">
        <v>16</v>
      </c>
      <c r="I52" t="s">
        <v>15</v>
      </c>
      <c r="J52" t="s">
        <v>16</v>
      </c>
      <c r="K52" t="s">
        <v>16</v>
      </c>
    </row>
    <row r="53" spans="1:11" x14ac:dyDescent="0.3">
      <c r="A53" s="1">
        <v>44020.650694444441</v>
      </c>
      <c r="B53" t="s">
        <v>11</v>
      </c>
      <c r="C53">
        <v>18</v>
      </c>
      <c r="D53" t="s">
        <v>30</v>
      </c>
      <c r="E53" t="s">
        <v>19</v>
      </c>
      <c r="F53" t="s">
        <v>27</v>
      </c>
      <c r="G53" t="s">
        <v>15</v>
      </c>
      <c r="H53" t="s">
        <v>15</v>
      </c>
      <c r="I53" t="s">
        <v>16</v>
      </c>
      <c r="J53" t="s">
        <v>15</v>
      </c>
      <c r="K53" t="s">
        <v>15</v>
      </c>
    </row>
    <row r="54" spans="1:11" x14ac:dyDescent="0.3">
      <c r="A54" s="1">
        <v>44020.657638888886</v>
      </c>
      <c r="B54" t="s">
        <v>11</v>
      </c>
      <c r="C54">
        <v>19</v>
      </c>
      <c r="D54" t="s">
        <v>51</v>
      </c>
      <c r="E54" t="s">
        <v>23</v>
      </c>
      <c r="F54" t="s">
        <v>14</v>
      </c>
      <c r="G54" t="s">
        <v>15</v>
      </c>
      <c r="H54" t="s">
        <v>15</v>
      </c>
      <c r="I54" t="s">
        <v>15</v>
      </c>
      <c r="J54" t="s">
        <v>15</v>
      </c>
      <c r="K54" t="s">
        <v>15</v>
      </c>
    </row>
    <row r="55" spans="1:11" x14ac:dyDescent="0.3">
      <c r="A55" s="1">
        <v>44020.658333333333</v>
      </c>
      <c r="B55" t="s">
        <v>11</v>
      </c>
      <c r="C55">
        <v>20</v>
      </c>
      <c r="D55" t="s">
        <v>52</v>
      </c>
      <c r="E55" t="s">
        <v>23</v>
      </c>
      <c r="F55" t="s">
        <v>14</v>
      </c>
      <c r="G55" t="s">
        <v>16</v>
      </c>
      <c r="H55" t="s">
        <v>16</v>
      </c>
      <c r="I55" t="s">
        <v>16</v>
      </c>
      <c r="J55" t="s">
        <v>16</v>
      </c>
      <c r="K55" t="s">
        <v>15</v>
      </c>
    </row>
    <row r="56" spans="1:11" x14ac:dyDescent="0.3">
      <c r="A56" s="1">
        <v>44020.664583333331</v>
      </c>
      <c r="B56" t="s">
        <v>11</v>
      </c>
      <c r="C56">
        <v>19</v>
      </c>
      <c r="D56" t="s">
        <v>30</v>
      </c>
      <c r="E56" t="s">
        <v>13</v>
      </c>
      <c r="F56" t="s">
        <v>27</v>
      </c>
      <c r="G56" t="s">
        <v>15</v>
      </c>
      <c r="H56" t="s">
        <v>16</v>
      </c>
      <c r="I56" t="s">
        <v>15</v>
      </c>
      <c r="J56" t="s">
        <v>16</v>
      </c>
      <c r="K56" t="s">
        <v>16</v>
      </c>
    </row>
    <row r="57" spans="1:11" x14ac:dyDescent="0.3">
      <c r="A57" s="1">
        <v>44020.665277777778</v>
      </c>
      <c r="B57" t="s">
        <v>17</v>
      </c>
      <c r="C57">
        <v>21</v>
      </c>
      <c r="D57" t="s">
        <v>30</v>
      </c>
      <c r="E57" t="s">
        <v>13</v>
      </c>
      <c r="F57" t="s">
        <v>14</v>
      </c>
      <c r="G57" t="s">
        <v>15</v>
      </c>
      <c r="H57" t="s">
        <v>15</v>
      </c>
      <c r="I57" t="s">
        <v>15</v>
      </c>
      <c r="J57" t="s">
        <v>15</v>
      </c>
      <c r="K57" t="s">
        <v>15</v>
      </c>
    </row>
    <row r="58" spans="1:11" x14ac:dyDescent="0.3">
      <c r="A58" s="1">
        <v>44020.672222222223</v>
      </c>
      <c r="B58" t="s">
        <v>17</v>
      </c>
      <c r="C58">
        <v>23</v>
      </c>
      <c r="D58" t="s">
        <v>53</v>
      </c>
      <c r="E58" t="s">
        <v>35</v>
      </c>
      <c r="F58" t="s">
        <v>27</v>
      </c>
      <c r="G58" t="s">
        <v>15</v>
      </c>
      <c r="H58" t="s">
        <v>15</v>
      </c>
      <c r="I58" t="s">
        <v>15</v>
      </c>
      <c r="J58" t="s">
        <v>15</v>
      </c>
      <c r="K58" t="s">
        <v>15</v>
      </c>
    </row>
    <row r="59" spans="1:11" x14ac:dyDescent="0.3">
      <c r="A59" s="1">
        <v>44020.681250000001</v>
      </c>
      <c r="B59" t="s">
        <v>11</v>
      </c>
      <c r="C59">
        <v>20</v>
      </c>
      <c r="D59" t="s">
        <v>54</v>
      </c>
      <c r="E59" t="s">
        <v>35</v>
      </c>
      <c r="F59" t="s">
        <v>14</v>
      </c>
      <c r="G59" t="s">
        <v>15</v>
      </c>
      <c r="H59" t="s">
        <v>16</v>
      </c>
      <c r="I59" t="s">
        <v>16</v>
      </c>
      <c r="J59" t="s">
        <v>15</v>
      </c>
      <c r="K59" t="s">
        <v>15</v>
      </c>
    </row>
    <row r="60" spans="1:11" x14ac:dyDescent="0.3">
      <c r="A60" s="1">
        <v>44020.681944444441</v>
      </c>
      <c r="B60" t="s">
        <v>11</v>
      </c>
      <c r="C60">
        <v>18</v>
      </c>
      <c r="D60" t="s">
        <v>30</v>
      </c>
      <c r="E60" t="s">
        <v>13</v>
      </c>
      <c r="F60" t="s">
        <v>27</v>
      </c>
      <c r="G60" t="s">
        <v>15</v>
      </c>
      <c r="H60" t="s">
        <v>15</v>
      </c>
      <c r="I60" t="s">
        <v>15</v>
      </c>
      <c r="J60" t="s">
        <v>15</v>
      </c>
      <c r="K60" t="s">
        <v>15</v>
      </c>
    </row>
    <row r="61" spans="1:11" x14ac:dyDescent="0.3">
      <c r="A61" s="1">
        <v>44020.69027777778</v>
      </c>
      <c r="B61" t="s">
        <v>11</v>
      </c>
      <c r="C61">
        <v>23</v>
      </c>
      <c r="D61" t="s">
        <v>55</v>
      </c>
      <c r="E61" t="s">
        <v>13</v>
      </c>
      <c r="F61" t="s">
        <v>14</v>
      </c>
      <c r="G61" t="s">
        <v>15</v>
      </c>
      <c r="H61" t="s">
        <v>15</v>
      </c>
      <c r="I61" t="s">
        <v>15</v>
      </c>
      <c r="J61" t="s">
        <v>15</v>
      </c>
      <c r="K61" t="s">
        <v>15</v>
      </c>
    </row>
    <row r="62" spans="1:11" x14ac:dyDescent="0.3">
      <c r="A62" s="1">
        <v>44020.69027777778</v>
      </c>
      <c r="B62" t="s">
        <v>11</v>
      </c>
      <c r="C62">
        <v>18</v>
      </c>
      <c r="D62" t="s">
        <v>56</v>
      </c>
      <c r="E62" t="s">
        <v>35</v>
      </c>
      <c r="F62" t="s">
        <v>14</v>
      </c>
      <c r="G62" t="s">
        <v>15</v>
      </c>
      <c r="H62" t="s">
        <v>15</v>
      </c>
      <c r="I62" t="s">
        <v>15</v>
      </c>
      <c r="J62" t="s">
        <v>16</v>
      </c>
      <c r="K62" t="s">
        <v>15</v>
      </c>
    </row>
    <row r="63" spans="1:11" x14ac:dyDescent="0.3">
      <c r="A63" s="1">
        <v>44020.703472222223</v>
      </c>
      <c r="B63" t="s">
        <v>11</v>
      </c>
      <c r="C63">
        <v>19</v>
      </c>
      <c r="D63" t="s">
        <v>30</v>
      </c>
      <c r="E63" t="s">
        <v>13</v>
      </c>
      <c r="F63" t="s">
        <v>27</v>
      </c>
      <c r="G63" t="s">
        <v>15</v>
      </c>
      <c r="H63" t="s">
        <v>15</v>
      </c>
      <c r="I63" t="s">
        <v>15</v>
      </c>
      <c r="J63" t="s">
        <v>15</v>
      </c>
      <c r="K63" t="s">
        <v>15</v>
      </c>
    </row>
    <row r="64" spans="1:11" x14ac:dyDescent="0.3">
      <c r="A64" s="1">
        <v>44020.711805555555</v>
      </c>
      <c r="B64" t="s">
        <v>11</v>
      </c>
      <c r="C64">
        <v>18</v>
      </c>
      <c r="D64" t="s">
        <v>57</v>
      </c>
      <c r="E64" t="s">
        <v>21</v>
      </c>
      <c r="F64" t="s">
        <v>27</v>
      </c>
      <c r="G64" t="s">
        <v>15</v>
      </c>
      <c r="H64" t="s">
        <v>15</v>
      </c>
      <c r="I64" t="s">
        <v>15</v>
      </c>
      <c r="J64" t="s">
        <v>16</v>
      </c>
      <c r="K64" t="s">
        <v>15</v>
      </c>
    </row>
    <row r="65" spans="1:11" x14ac:dyDescent="0.3">
      <c r="A65" s="1">
        <v>44020.734027777777</v>
      </c>
      <c r="B65" t="s">
        <v>11</v>
      </c>
      <c r="C65">
        <v>24</v>
      </c>
      <c r="D65" t="s">
        <v>58</v>
      </c>
      <c r="E65" t="s">
        <v>13</v>
      </c>
      <c r="F65" t="s">
        <v>27</v>
      </c>
      <c r="G65" t="s">
        <v>15</v>
      </c>
      <c r="H65" t="s">
        <v>15</v>
      </c>
      <c r="I65" t="s">
        <v>15</v>
      </c>
      <c r="J65" t="s">
        <v>16</v>
      </c>
      <c r="K65" t="s">
        <v>15</v>
      </c>
    </row>
    <row r="66" spans="1:11" x14ac:dyDescent="0.3">
      <c r="A66" s="1">
        <v>44020.740277777775</v>
      </c>
      <c r="B66" t="s">
        <v>11</v>
      </c>
      <c r="C66">
        <v>24</v>
      </c>
      <c r="D66" t="s">
        <v>49</v>
      </c>
      <c r="E66" t="s">
        <v>13</v>
      </c>
      <c r="F66" t="s">
        <v>27</v>
      </c>
      <c r="G66" t="s">
        <v>15</v>
      </c>
      <c r="H66" t="s">
        <v>15</v>
      </c>
      <c r="I66" t="s">
        <v>15</v>
      </c>
      <c r="J66" t="s">
        <v>15</v>
      </c>
      <c r="K66" t="s">
        <v>15</v>
      </c>
    </row>
    <row r="67" spans="1:11" x14ac:dyDescent="0.3">
      <c r="A67" s="1">
        <v>44020.743055555555</v>
      </c>
      <c r="B67" t="s">
        <v>11</v>
      </c>
      <c r="C67">
        <v>23</v>
      </c>
      <c r="D67" t="s">
        <v>59</v>
      </c>
      <c r="E67" t="s">
        <v>13</v>
      </c>
      <c r="F67" t="s">
        <v>27</v>
      </c>
      <c r="G67" t="s">
        <v>15</v>
      </c>
      <c r="H67" t="s">
        <v>16</v>
      </c>
      <c r="I67" t="s">
        <v>16</v>
      </c>
      <c r="J67" t="s">
        <v>15</v>
      </c>
      <c r="K67" t="s">
        <v>15</v>
      </c>
    </row>
    <row r="68" spans="1:11" x14ac:dyDescent="0.3">
      <c r="A68" s="1">
        <v>44020.756944444445</v>
      </c>
      <c r="B68" t="s">
        <v>11</v>
      </c>
      <c r="C68">
        <v>18</v>
      </c>
      <c r="D68" t="s">
        <v>40</v>
      </c>
      <c r="E68" t="s">
        <v>35</v>
      </c>
      <c r="F68" t="s">
        <v>14</v>
      </c>
      <c r="G68" t="s">
        <v>15</v>
      </c>
      <c r="H68" t="s">
        <v>15</v>
      </c>
      <c r="I68" t="s">
        <v>16</v>
      </c>
      <c r="J68" t="s">
        <v>15</v>
      </c>
      <c r="K68" t="s">
        <v>15</v>
      </c>
    </row>
    <row r="69" spans="1:11" x14ac:dyDescent="0.3">
      <c r="A69" s="1">
        <v>44020.757638888892</v>
      </c>
      <c r="B69" t="s">
        <v>17</v>
      </c>
      <c r="C69">
        <v>19</v>
      </c>
      <c r="D69" t="s">
        <v>60</v>
      </c>
      <c r="E69" t="s">
        <v>35</v>
      </c>
      <c r="F69" t="s">
        <v>14</v>
      </c>
      <c r="G69" t="s">
        <v>16</v>
      </c>
      <c r="H69" t="s">
        <v>16</v>
      </c>
      <c r="I69" t="s">
        <v>15</v>
      </c>
      <c r="J69" t="s">
        <v>16</v>
      </c>
      <c r="K69" t="s">
        <v>15</v>
      </c>
    </row>
    <row r="70" spans="1:11" x14ac:dyDescent="0.3">
      <c r="A70" s="1">
        <v>44020.795138888891</v>
      </c>
      <c r="B70" t="s">
        <v>11</v>
      </c>
      <c r="C70">
        <v>18</v>
      </c>
      <c r="D70" t="s">
        <v>61</v>
      </c>
      <c r="E70" t="s">
        <v>13</v>
      </c>
      <c r="F70" t="s">
        <v>27</v>
      </c>
      <c r="G70" t="s">
        <v>15</v>
      </c>
      <c r="H70" t="s">
        <v>16</v>
      </c>
      <c r="I70" t="s">
        <v>15</v>
      </c>
      <c r="J70" t="s">
        <v>15</v>
      </c>
      <c r="K70" t="s">
        <v>15</v>
      </c>
    </row>
    <row r="71" spans="1:11" x14ac:dyDescent="0.3">
      <c r="A71" s="1">
        <v>44020.813888888886</v>
      </c>
      <c r="B71" t="s">
        <v>11</v>
      </c>
      <c r="C71">
        <v>24</v>
      </c>
      <c r="D71" t="s">
        <v>62</v>
      </c>
      <c r="E71" t="s">
        <v>25</v>
      </c>
      <c r="F71" t="s">
        <v>14</v>
      </c>
      <c r="G71" t="s">
        <v>15</v>
      </c>
      <c r="H71" t="s">
        <v>15</v>
      </c>
      <c r="I71" t="s">
        <v>16</v>
      </c>
      <c r="J71" t="s">
        <v>15</v>
      </c>
      <c r="K71" t="s">
        <v>15</v>
      </c>
    </row>
    <row r="72" spans="1:11" x14ac:dyDescent="0.3">
      <c r="A72" s="1">
        <v>44020.85833333333</v>
      </c>
      <c r="B72" t="s">
        <v>11</v>
      </c>
      <c r="C72">
        <v>24</v>
      </c>
      <c r="D72" t="s">
        <v>51</v>
      </c>
      <c r="E72" t="s">
        <v>13</v>
      </c>
      <c r="F72" t="s">
        <v>14</v>
      </c>
      <c r="G72" t="s">
        <v>15</v>
      </c>
      <c r="H72" t="s">
        <v>15</v>
      </c>
      <c r="I72" t="s">
        <v>15</v>
      </c>
      <c r="J72" t="s">
        <v>15</v>
      </c>
      <c r="K72" t="s">
        <v>15</v>
      </c>
    </row>
    <row r="73" spans="1:11" x14ac:dyDescent="0.3">
      <c r="A73" s="1">
        <v>44020.88958333333</v>
      </c>
      <c r="B73" t="s">
        <v>11</v>
      </c>
      <c r="C73">
        <v>18</v>
      </c>
      <c r="D73" t="s">
        <v>22</v>
      </c>
      <c r="E73" t="s">
        <v>35</v>
      </c>
      <c r="F73" t="s">
        <v>27</v>
      </c>
      <c r="G73" t="s">
        <v>15</v>
      </c>
      <c r="H73" t="s">
        <v>15</v>
      </c>
      <c r="I73" t="s">
        <v>15</v>
      </c>
      <c r="J73" t="s">
        <v>16</v>
      </c>
      <c r="K73" t="s">
        <v>15</v>
      </c>
    </row>
    <row r="74" spans="1:11" x14ac:dyDescent="0.3">
      <c r="A74" s="1">
        <v>44020.940972222219</v>
      </c>
      <c r="B74" t="s">
        <v>11</v>
      </c>
      <c r="C74">
        <v>19</v>
      </c>
      <c r="D74" t="s">
        <v>20</v>
      </c>
      <c r="E74" t="s">
        <v>35</v>
      </c>
      <c r="F74" t="s">
        <v>14</v>
      </c>
      <c r="G74" t="s">
        <v>16</v>
      </c>
      <c r="H74" t="s">
        <v>16</v>
      </c>
      <c r="I74" t="s">
        <v>15</v>
      </c>
      <c r="J74" t="s">
        <v>15</v>
      </c>
      <c r="K74" t="s">
        <v>15</v>
      </c>
    </row>
    <row r="75" spans="1:11" x14ac:dyDescent="0.3">
      <c r="A75" s="1">
        <v>44021.289583333331</v>
      </c>
      <c r="B75" t="s">
        <v>17</v>
      </c>
      <c r="C75">
        <v>18</v>
      </c>
      <c r="D75" t="s">
        <v>51</v>
      </c>
      <c r="E75" t="s">
        <v>13</v>
      </c>
      <c r="F75" t="s">
        <v>47</v>
      </c>
      <c r="G75" t="s">
        <v>15</v>
      </c>
      <c r="H75" t="s">
        <v>15</v>
      </c>
      <c r="I75" t="s">
        <v>15</v>
      </c>
      <c r="J75" t="s">
        <v>15</v>
      </c>
      <c r="K75" t="s">
        <v>15</v>
      </c>
    </row>
    <row r="76" spans="1:11" x14ac:dyDescent="0.3">
      <c r="A76" s="1">
        <v>44021.488194444442</v>
      </c>
      <c r="B76" t="s">
        <v>17</v>
      </c>
      <c r="C76">
        <v>24</v>
      </c>
      <c r="D76" t="s">
        <v>20</v>
      </c>
      <c r="E76" t="s">
        <v>35</v>
      </c>
      <c r="F76" t="s">
        <v>27</v>
      </c>
      <c r="G76" t="s">
        <v>15</v>
      </c>
      <c r="H76" t="s">
        <v>15</v>
      </c>
      <c r="I76" t="s">
        <v>16</v>
      </c>
      <c r="J76" t="s">
        <v>15</v>
      </c>
      <c r="K76" t="s">
        <v>15</v>
      </c>
    </row>
    <row r="77" spans="1:11" x14ac:dyDescent="0.3">
      <c r="A77" s="1">
        <v>44021.497916666667</v>
      </c>
      <c r="B77" t="s">
        <v>11</v>
      </c>
      <c r="C77">
        <v>24</v>
      </c>
      <c r="D77" t="s">
        <v>40</v>
      </c>
      <c r="E77" t="s">
        <v>13</v>
      </c>
      <c r="F77" t="s">
        <v>27</v>
      </c>
      <c r="G77" t="s">
        <v>15</v>
      </c>
      <c r="H77" t="s">
        <v>15</v>
      </c>
      <c r="I77" t="s">
        <v>16</v>
      </c>
      <c r="J77" t="s">
        <v>16</v>
      </c>
      <c r="K77" t="s">
        <v>15</v>
      </c>
    </row>
    <row r="78" spans="1:11" x14ac:dyDescent="0.3">
      <c r="A78" s="1">
        <v>44021.552083333336</v>
      </c>
      <c r="B78" t="s">
        <v>11</v>
      </c>
      <c r="C78">
        <v>23</v>
      </c>
      <c r="D78" t="s">
        <v>12</v>
      </c>
      <c r="E78" t="s">
        <v>13</v>
      </c>
      <c r="F78" t="s">
        <v>14</v>
      </c>
      <c r="G78" t="s">
        <v>15</v>
      </c>
      <c r="H78" t="s">
        <v>16</v>
      </c>
      <c r="I78" t="s">
        <v>15</v>
      </c>
      <c r="J78" t="s">
        <v>15</v>
      </c>
      <c r="K78" t="s">
        <v>15</v>
      </c>
    </row>
    <row r="79" spans="1:11" x14ac:dyDescent="0.3">
      <c r="A79" s="1">
        <v>44021.76666666667</v>
      </c>
      <c r="B79" t="s">
        <v>11</v>
      </c>
      <c r="C79">
        <v>18</v>
      </c>
      <c r="D79" t="s">
        <v>63</v>
      </c>
      <c r="E79" t="s">
        <v>26</v>
      </c>
      <c r="F79" t="s">
        <v>14</v>
      </c>
      <c r="G79" t="s">
        <v>15</v>
      </c>
      <c r="H79" t="s">
        <v>15</v>
      </c>
      <c r="I79" t="s">
        <v>15</v>
      </c>
      <c r="J79" t="s">
        <v>16</v>
      </c>
      <c r="K79" t="s">
        <v>15</v>
      </c>
    </row>
    <row r="80" spans="1:11" x14ac:dyDescent="0.3">
      <c r="A80" s="1">
        <v>44025.421898148146</v>
      </c>
      <c r="B80" t="s">
        <v>11</v>
      </c>
      <c r="C80">
        <v>19</v>
      </c>
      <c r="D80" t="s">
        <v>64</v>
      </c>
      <c r="E80" t="s">
        <v>35</v>
      </c>
      <c r="F80" t="s">
        <v>47</v>
      </c>
      <c r="G80" t="s">
        <v>15</v>
      </c>
      <c r="H80" t="s">
        <v>15</v>
      </c>
      <c r="I80" t="s">
        <v>15</v>
      </c>
      <c r="J80" t="s">
        <v>15</v>
      </c>
      <c r="K80" t="s">
        <v>15</v>
      </c>
    </row>
    <row r="81" spans="1:11" x14ac:dyDescent="0.3">
      <c r="A81" s="1">
        <v>44025.423958333333</v>
      </c>
      <c r="B81" t="s">
        <v>11</v>
      </c>
      <c r="C81">
        <v>18</v>
      </c>
      <c r="D81" t="s">
        <v>12</v>
      </c>
      <c r="E81" t="s">
        <v>25</v>
      </c>
      <c r="F81" t="s">
        <v>27</v>
      </c>
      <c r="G81" t="s">
        <v>15</v>
      </c>
      <c r="H81" t="s">
        <v>15</v>
      </c>
      <c r="I81" t="s">
        <v>15</v>
      </c>
      <c r="J81" t="s">
        <v>15</v>
      </c>
      <c r="K81" t="s">
        <v>15</v>
      </c>
    </row>
    <row r="82" spans="1:11" x14ac:dyDescent="0.3">
      <c r="A82" s="1">
        <v>44025.42460648148</v>
      </c>
      <c r="B82" t="s">
        <v>11</v>
      </c>
      <c r="C82">
        <v>24</v>
      </c>
      <c r="D82" t="s">
        <v>65</v>
      </c>
      <c r="E82" t="s">
        <v>26</v>
      </c>
      <c r="F82" t="s">
        <v>27</v>
      </c>
      <c r="G82" t="s">
        <v>16</v>
      </c>
      <c r="H82" t="s">
        <v>16</v>
      </c>
      <c r="I82" t="s">
        <v>16</v>
      </c>
      <c r="J82" t="s">
        <v>16</v>
      </c>
      <c r="K82" t="s">
        <v>15</v>
      </c>
    </row>
    <row r="83" spans="1:11" x14ac:dyDescent="0.3">
      <c r="A83" s="1">
        <v>44025.425208333334</v>
      </c>
      <c r="B83" t="s">
        <v>11</v>
      </c>
      <c r="C83">
        <v>24</v>
      </c>
      <c r="D83" t="s">
        <v>66</v>
      </c>
      <c r="E83" t="s">
        <v>19</v>
      </c>
      <c r="F83" t="s">
        <v>27</v>
      </c>
      <c r="G83" t="s">
        <v>15</v>
      </c>
      <c r="H83" t="s">
        <v>15</v>
      </c>
      <c r="I83" t="s">
        <v>15</v>
      </c>
      <c r="J83" t="s">
        <v>15</v>
      </c>
      <c r="K83" t="s">
        <v>15</v>
      </c>
    </row>
    <row r="84" spans="1:11" x14ac:dyDescent="0.3">
      <c r="A84" s="1">
        <v>44025.425300925926</v>
      </c>
      <c r="B84" t="s">
        <v>11</v>
      </c>
      <c r="C84">
        <v>19</v>
      </c>
      <c r="D84" t="s">
        <v>12</v>
      </c>
      <c r="E84" t="s">
        <v>13</v>
      </c>
      <c r="F84" t="s">
        <v>14</v>
      </c>
      <c r="G84" t="s">
        <v>15</v>
      </c>
      <c r="H84" t="s">
        <v>16</v>
      </c>
      <c r="I84" t="s">
        <v>16</v>
      </c>
      <c r="J84" t="s">
        <v>15</v>
      </c>
      <c r="K84" t="s">
        <v>15</v>
      </c>
    </row>
    <row r="85" spans="1:11" x14ac:dyDescent="0.3">
      <c r="A85" s="1">
        <v>44025.425324074073</v>
      </c>
      <c r="B85" t="s">
        <v>11</v>
      </c>
      <c r="C85">
        <v>19</v>
      </c>
      <c r="D85" t="s">
        <v>67</v>
      </c>
      <c r="E85" t="s">
        <v>26</v>
      </c>
      <c r="F85" t="s">
        <v>14</v>
      </c>
      <c r="G85" t="s">
        <v>15</v>
      </c>
      <c r="H85" t="s">
        <v>15</v>
      </c>
      <c r="I85" t="s">
        <v>15</v>
      </c>
      <c r="J85" t="s">
        <v>15</v>
      </c>
      <c r="K85" t="s">
        <v>15</v>
      </c>
    </row>
    <row r="86" spans="1:11" x14ac:dyDescent="0.3">
      <c r="A86" s="1">
        <v>44025.426921296297</v>
      </c>
      <c r="B86" t="s">
        <v>17</v>
      </c>
      <c r="C86">
        <v>23</v>
      </c>
      <c r="D86" t="s">
        <v>68</v>
      </c>
      <c r="E86" t="s">
        <v>13</v>
      </c>
      <c r="F86" t="s">
        <v>14</v>
      </c>
      <c r="G86" t="s">
        <v>15</v>
      </c>
      <c r="H86" t="s">
        <v>15</v>
      </c>
      <c r="I86" t="s">
        <v>15</v>
      </c>
      <c r="J86" t="s">
        <v>15</v>
      </c>
      <c r="K86" t="s">
        <v>15</v>
      </c>
    </row>
    <row r="87" spans="1:11" x14ac:dyDescent="0.3">
      <c r="A87" s="1">
        <v>44025.440127314818</v>
      </c>
      <c r="B87" t="s">
        <v>11</v>
      </c>
      <c r="C87">
        <v>18</v>
      </c>
      <c r="D87" t="s">
        <v>69</v>
      </c>
      <c r="E87" t="s">
        <v>13</v>
      </c>
      <c r="F87" t="s">
        <v>27</v>
      </c>
      <c r="G87" t="s">
        <v>15</v>
      </c>
      <c r="H87" t="s">
        <v>16</v>
      </c>
      <c r="I87" t="s">
        <v>16</v>
      </c>
      <c r="J87" t="s">
        <v>15</v>
      </c>
      <c r="K87" t="s">
        <v>16</v>
      </c>
    </row>
    <row r="88" spans="1:11" x14ac:dyDescent="0.3">
      <c r="A88" s="1">
        <v>44025.440370370372</v>
      </c>
      <c r="B88" t="s">
        <v>11</v>
      </c>
      <c r="C88">
        <v>19</v>
      </c>
      <c r="D88" t="s">
        <v>70</v>
      </c>
      <c r="E88" t="s">
        <v>35</v>
      </c>
      <c r="F88" t="s">
        <v>14</v>
      </c>
      <c r="G88" t="s">
        <v>15</v>
      </c>
      <c r="H88" t="s">
        <v>15</v>
      </c>
      <c r="I88" t="s">
        <v>15</v>
      </c>
      <c r="J88" t="s">
        <v>15</v>
      </c>
      <c r="K88" t="s">
        <v>15</v>
      </c>
    </row>
    <row r="89" spans="1:11" x14ac:dyDescent="0.3">
      <c r="A89" s="1">
        <v>44025.490428240744</v>
      </c>
      <c r="B89" t="s">
        <v>11</v>
      </c>
      <c r="C89">
        <v>18</v>
      </c>
      <c r="D89" t="s">
        <v>69</v>
      </c>
      <c r="E89" t="s">
        <v>13</v>
      </c>
      <c r="F89" t="s">
        <v>27</v>
      </c>
      <c r="G89" t="s">
        <v>15</v>
      </c>
      <c r="H89" t="s">
        <v>16</v>
      </c>
      <c r="I89" t="s">
        <v>16</v>
      </c>
      <c r="J89" t="s">
        <v>16</v>
      </c>
      <c r="K89" t="s">
        <v>15</v>
      </c>
    </row>
    <row r="90" spans="1:11" x14ac:dyDescent="0.3">
      <c r="A90" s="1">
        <v>44025.492384259262</v>
      </c>
      <c r="B90" t="s">
        <v>17</v>
      </c>
      <c r="C90">
        <v>24</v>
      </c>
      <c r="D90" t="s">
        <v>20</v>
      </c>
      <c r="E90" t="s">
        <v>13</v>
      </c>
      <c r="F90" t="s">
        <v>14</v>
      </c>
      <c r="G90" t="s">
        <v>15</v>
      </c>
      <c r="H90" t="s">
        <v>15</v>
      </c>
      <c r="I90" t="s">
        <v>16</v>
      </c>
      <c r="J90" t="s">
        <v>15</v>
      </c>
      <c r="K90" t="s">
        <v>15</v>
      </c>
    </row>
    <row r="91" spans="1:11" x14ac:dyDescent="0.3">
      <c r="A91" s="1">
        <v>44025.496504629627</v>
      </c>
      <c r="B91" t="s">
        <v>17</v>
      </c>
      <c r="C91">
        <v>24</v>
      </c>
      <c r="D91" t="s">
        <v>12</v>
      </c>
      <c r="E91" t="s">
        <v>26</v>
      </c>
      <c r="F91" t="s">
        <v>43</v>
      </c>
      <c r="G91" t="s">
        <v>15</v>
      </c>
      <c r="H91" t="s">
        <v>15</v>
      </c>
      <c r="I91" t="s">
        <v>15</v>
      </c>
      <c r="J91" t="s">
        <v>16</v>
      </c>
      <c r="K91" t="s">
        <v>15</v>
      </c>
    </row>
    <row r="92" spans="1:11" x14ac:dyDescent="0.3">
      <c r="A92" s="1">
        <v>44025.581377314818</v>
      </c>
      <c r="B92" t="s">
        <v>11</v>
      </c>
      <c r="C92">
        <v>23</v>
      </c>
      <c r="D92" t="s">
        <v>71</v>
      </c>
      <c r="E92" t="s">
        <v>35</v>
      </c>
      <c r="F92" t="s">
        <v>27</v>
      </c>
      <c r="G92" t="s">
        <v>15</v>
      </c>
      <c r="H92" t="s">
        <v>15</v>
      </c>
      <c r="I92" t="s">
        <v>15</v>
      </c>
      <c r="J92" t="s">
        <v>16</v>
      </c>
      <c r="K92" t="s">
        <v>15</v>
      </c>
    </row>
    <row r="93" spans="1:11" x14ac:dyDescent="0.3">
      <c r="A93" s="1">
        <v>44025.609861111108</v>
      </c>
      <c r="B93" t="s">
        <v>17</v>
      </c>
      <c r="C93">
        <v>18</v>
      </c>
      <c r="D93" t="s">
        <v>72</v>
      </c>
      <c r="E93" t="s">
        <v>26</v>
      </c>
      <c r="F93" t="s">
        <v>14</v>
      </c>
      <c r="G93" t="s">
        <v>15</v>
      </c>
      <c r="H93" t="s">
        <v>15</v>
      </c>
      <c r="I93" t="s">
        <v>16</v>
      </c>
      <c r="J93" t="s">
        <v>15</v>
      </c>
      <c r="K93" t="s">
        <v>15</v>
      </c>
    </row>
    <row r="94" spans="1:11" x14ac:dyDescent="0.3">
      <c r="A94" s="1">
        <v>44025.616724537038</v>
      </c>
      <c r="B94" t="s">
        <v>11</v>
      </c>
      <c r="C94">
        <v>19</v>
      </c>
      <c r="D94" t="s">
        <v>40</v>
      </c>
      <c r="E94" t="s">
        <v>19</v>
      </c>
      <c r="F94" t="s">
        <v>14</v>
      </c>
      <c r="G94" t="s">
        <v>16</v>
      </c>
      <c r="H94" t="s">
        <v>16</v>
      </c>
      <c r="I94" t="s">
        <v>15</v>
      </c>
      <c r="J94" t="s">
        <v>15</v>
      </c>
      <c r="K94" t="s">
        <v>15</v>
      </c>
    </row>
    <row r="95" spans="1:11" x14ac:dyDescent="0.3">
      <c r="A95" s="1">
        <v>44025.677233796298</v>
      </c>
      <c r="B95" t="s">
        <v>11</v>
      </c>
      <c r="C95">
        <v>18</v>
      </c>
      <c r="D95" t="s">
        <v>54</v>
      </c>
      <c r="E95" t="s">
        <v>13</v>
      </c>
      <c r="F95" t="s">
        <v>14</v>
      </c>
      <c r="G95" t="s">
        <v>15</v>
      </c>
      <c r="H95" t="s">
        <v>16</v>
      </c>
      <c r="I95" t="s">
        <v>15</v>
      </c>
      <c r="J95" t="s">
        <v>15</v>
      </c>
      <c r="K95" t="s">
        <v>15</v>
      </c>
    </row>
    <row r="96" spans="1:11" x14ac:dyDescent="0.3">
      <c r="A96" s="1">
        <v>44025.729675925926</v>
      </c>
      <c r="B96" t="s">
        <v>11</v>
      </c>
      <c r="C96">
        <v>24</v>
      </c>
      <c r="D96" t="s">
        <v>73</v>
      </c>
      <c r="E96" t="s">
        <v>35</v>
      </c>
      <c r="F96" t="s">
        <v>47</v>
      </c>
      <c r="G96" t="s">
        <v>15</v>
      </c>
      <c r="H96" t="s">
        <v>15</v>
      </c>
      <c r="I96" t="s">
        <v>15</v>
      </c>
      <c r="J96" t="s">
        <v>16</v>
      </c>
      <c r="K96" t="s">
        <v>15</v>
      </c>
    </row>
    <row r="97" spans="1:11" x14ac:dyDescent="0.3">
      <c r="A97" s="1">
        <v>44025.797592592593</v>
      </c>
      <c r="B97" t="s">
        <v>11</v>
      </c>
      <c r="C97">
        <v>18</v>
      </c>
      <c r="D97" t="s">
        <v>74</v>
      </c>
      <c r="E97" t="s">
        <v>13</v>
      </c>
      <c r="F97" t="s">
        <v>27</v>
      </c>
      <c r="G97" t="s">
        <v>15</v>
      </c>
      <c r="H97" t="s">
        <v>15</v>
      </c>
      <c r="I97" t="s">
        <v>15</v>
      </c>
      <c r="J97" t="s">
        <v>15</v>
      </c>
      <c r="K97" t="s">
        <v>15</v>
      </c>
    </row>
    <row r="98" spans="1:11" x14ac:dyDescent="0.3">
      <c r="A98" s="1">
        <v>44025.831122685187</v>
      </c>
      <c r="B98" t="s">
        <v>11</v>
      </c>
      <c r="C98">
        <v>21</v>
      </c>
      <c r="D98" t="s">
        <v>30</v>
      </c>
      <c r="E98" t="s">
        <v>13</v>
      </c>
      <c r="F98" t="s">
        <v>27</v>
      </c>
      <c r="G98" t="s">
        <v>15</v>
      </c>
      <c r="H98" t="s">
        <v>15</v>
      </c>
      <c r="I98" t="s">
        <v>16</v>
      </c>
      <c r="J98" t="s">
        <v>15</v>
      </c>
      <c r="K98" t="s">
        <v>15</v>
      </c>
    </row>
    <row r="99" spans="1:11" x14ac:dyDescent="0.3">
      <c r="A99" s="1">
        <v>44025.890069444446</v>
      </c>
      <c r="B99" t="s">
        <v>17</v>
      </c>
      <c r="C99">
        <v>18</v>
      </c>
      <c r="D99" t="s">
        <v>12</v>
      </c>
      <c r="E99" t="s">
        <v>26</v>
      </c>
      <c r="F99" t="s">
        <v>14</v>
      </c>
      <c r="G99" t="s">
        <v>15</v>
      </c>
      <c r="H99" t="s">
        <v>16</v>
      </c>
      <c r="I99" t="s">
        <v>16</v>
      </c>
      <c r="J99" t="s">
        <v>15</v>
      </c>
      <c r="K99" t="s">
        <v>15</v>
      </c>
    </row>
    <row r="100" spans="1:11" x14ac:dyDescent="0.3">
      <c r="A100" s="1">
        <v>44025.890925925924</v>
      </c>
      <c r="B100" t="s">
        <v>11</v>
      </c>
      <c r="C100">
        <v>19</v>
      </c>
      <c r="D100" t="s">
        <v>75</v>
      </c>
      <c r="E100" t="s">
        <v>35</v>
      </c>
      <c r="F100" t="s">
        <v>27</v>
      </c>
      <c r="G100" t="s">
        <v>16</v>
      </c>
      <c r="H100" t="s">
        <v>16</v>
      </c>
      <c r="I100" t="s">
        <v>15</v>
      </c>
      <c r="J100" t="s">
        <v>16</v>
      </c>
      <c r="K100" t="s">
        <v>15</v>
      </c>
    </row>
    <row r="101" spans="1:11" x14ac:dyDescent="0.3">
      <c r="A101" s="1">
        <v>44025.891631944447</v>
      </c>
      <c r="B101" t="s">
        <v>11</v>
      </c>
      <c r="C101">
        <v>23</v>
      </c>
      <c r="D101" t="s">
        <v>76</v>
      </c>
      <c r="E101" t="s">
        <v>25</v>
      </c>
      <c r="F101" t="s">
        <v>27</v>
      </c>
      <c r="G101" t="s">
        <v>15</v>
      </c>
      <c r="H101" t="s">
        <v>15</v>
      </c>
      <c r="I101" t="s">
        <v>15</v>
      </c>
      <c r="J101" t="s">
        <v>15</v>
      </c>
      <c r="K101" t="s">
        <v>15</v>
      </c>
    </row>
    <row r="102" spans="1:11" x14ac:dyDescent="0.3">
      <c r="A102" s="1">
        <v>44030.844687500001</v>
      </c>
      <c r="B102" t="s">
        <v>17</v>
      </c>
      <c r="C102">
        <v>20</v>
      </c>
      <c r="D102" t="s">
        <v>51</v>
      </c>
      <c r="E102" t="s">
        <v>26</v>
      </c>
      <c r="F102" t="s">
        <v>14</v>
      </c>
      <c r="G102" t="s">
        <v>15</v>
      </c>
      <c r="H102" t="s">
        <v>15</v>
      </c>
      <c r="I102" t="s">
        <v>15</v>
      </c>
      <c r="J102" t="s">
        <v>15</v>
      </c>
      <c r="K102" t="s">
        <v>15</v>
      </c>
    </row>
  </sheetData>
  <autoFilter ref="A1:K102" xr:uid="{75293A02-48DF-43B9-A47A-AEB6BBD3726B}">
    <sortState xmlns:xlrd2="http://schemas.microsoft.com/office/spreadsheetml/2017/richdata2" ref="A2:K102">
      <sortCondition ref="A1:A10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FC2B-FFC0-46DF-A7F3-0BC16F16665B}">
  <dimension ref="A3:B6"/>
  <sheetViews>
    <sheetView workbookViewId="0">
      <selection activeCell="B4" sqref="B4"/>
    </sheetView>
  </sheetViews>
  <sheetFormatPr defaultRowHeight="14.4" x14ac:dyDescent="0.3"/>
  <cols>
    <col min="1" max="1" width="12.5546875" bestFit="1" customWidth="1"/>
    <col min="2" max="2" width="18.5546875" bestFit="1" customWidth="1"/>
    <col min="3" max="3" width="17.5546875" bestFit="1" customWidth="1"/>
  </cols>
  <sheetData>
    <row r="3" spans="1:2" x14ac:dyDescent="0.3">
      <c r="A3" s="12" t="s">
        <v>89</v>
      </c>
      <c r="B3" t="s">
        <v>91</v>
      </c>
    </row>
    <row r="4" spans="1:2" x14ac:dyDescent="0.3">
      <c r="A4" s="13" t="s">
        <v>15</v>
      </c>
      <c r="B4" s="14">
        <v>35</v>
      </c>
    </row>
    <row r="5" spans="1:2" x14ac:dyDescent="0.3">
      <c r="A5" s="13" t="s">
        <v>16</v>
      </c>
      <c r="B5" s="14">
        <v>63</v>
      </c>
    </row>
    <row r="6" spans="1:2" x14ac:dyDescent="0.3">
      <c r="A6" s="13" t="s">
        <v>90</v>
      </c>
      <c r="B6" s="14">
        <v>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9A5B-465F-40B6-A297-315C020E8FF5}">
  <dimension ref="A3:V20"/>
  <sheetViews>
    <sheetView workbookViewId="0">
      <selection activeCell="T3" sqref="T3:V20"/>
      <pivotSelection pane="bottomRight" showHeader="1" click="1" r:id="rId1">
        <pivotArea type="all" dataOnly="0" outline="0" fieldPosition="0"/>
      </pivotSelection>
    </sheetView>
  </sheetViews>
  <sheetFormatPr defaultRowHeight="14.4" x14ac:dyDescent="0.3"/>
  <cols>
    <col min="1" max="1" width="18.21875" bestFit="1" customWidth="1"/>
    <col min="2" max="2" width="15.5546875" bestFit="1" customWidth="1"/>
    <col min="3" max="3" width="7" bestFit="1" customWidth="1"/>
    <col min="4" max="4" width="10.77734375" bestFit="1" customWidth="1"/>
  </cols>
  <sheetData>
    <row r="3" spans="1:22" x14ac:dyDescent="0.3">
      <c r="A3" s="12" t="s">
        <v>93</v>
      </c>
      <c r="B3" s="12" t="s">
        <v>92</v>
      </c>
      <c r="T3" s="18"/>
      <c r="U3" s="19"/>
      <c r="V3" s="20"/>
    </row>
    <row r="4" spans="1:22" x14ac:dyDescent="0.3">
      <c r="A4" s="12" t="s">
        <v>89</v>
      </c>
      <c r="B4" t="s">
        <v>15</v>
      </c>
      <c r="C4" t="s">
        <v>16</v>
      </c>
      <c r="T4" s="21"/>
      <c r="U4" s="22"/>
      <c r="V4" s="23"/>
    </row>
    <row r="5" spans="1:22" x14ac:dyDescent="0.3">
      <c r="A5" s="13" t="s">
        <v>21</v>
      </c>
      <c r="B5" s="15">
        <v>0.68292682926829273</v>
      </c>
      <c r="C5" s="15">
        <v>0.31707317073170732</v>
      </c>
      <c r="T5" s="21"/>
      <c r="U5" s="22"/>
      <c r="V5" s="23"/>
    </row>
    <row r="6" spans="1:22" x14ac:dyDescent="0.3">
      <c r="A6" s="13" t="s">
        <v>26</v>
      </c>
      <c r="B6" s="15">
        <v>0.61538461538461542</v>
      </c>
      <c r="C6" s="15">
        <v>0.38461538461538464</v>
      </c>
      <c r="T6" s="21"/>
      <c r="U6" s="22"/>
      <c r="V6" s="23"/>
    </row>
    <row r="7" spans="1:22" x14ac:dyDescent="0.3">
      <c r="A7" s="13" t="s">
        <v>35</v>
      </c>
      <c r="B7" s="15">
        <v>0.56521739130434778</v>
      </c>
      <c r="C7" s="15">
        <v>0.43478260869565216</v>
      </c>
      <c r="T7" s="21"/>
      <c r="U7" s="22"/>
      <c r="V7" s="23"/>
    </row>
    <row r="8" spans="1:22" x14ac:dyDescent="0.3">
      <c r="A8" s="13" t="s">
        <v>85</v>
      </c>
      <c r="B8" s="15">
        <v>0.875</v>
      </c>
      <c r="C8" s="15">
        <v>0.125</v>
      </c>
      <c r="T8" s="21"/>
      <c r="U8" s="22"/>
      <c r="V8" s="23"/>
    </row>
    <row r="9" spans="1:22" x14ac:dyDescent="0.3">
      <c r="A9" s="13" t="s">
        <v>90</v>
      </c>
      <c r="B9" s="15">
        <v>0.65306122448979587</v>
      </c>
      <c r="C9" s="15">
        <v>0.34693877551020408</v>
      </c>
      <c r="T9" s="21"/>
      <c r="U9" s="22"/>
      <c r="V9" s="23"/>
    </row>
    <row r="10" spans="1:22" x14ac:dyDescent="0.3">
      <c r="T10" s="21"/>
      <c r="U10" s="22"/>
      <c r="V10" s="23"/>
    </row>
    <row r="11" spans="1:22" x14ac:dyDescent="0.3">
      <c r="T11" s="21"/>
      <c r="U11" s="22"/>
      <c r="V11" s="23"/>
    </row>
    <row r="12" spans="1:22" x14ac:dyDescent="0.3">
      <c r="T12" s="21"/>
      <c r="U12" s="22"/>
      <c r="V12" s="23"/>
    </row>
    <row r="13" spans="1:22" x14ac:dyDescent="0.3">
      <c r="T13" s="21"/>
      <c r="U13" s="22"/>
      <c r="V13" s="23"/>
    </row>
    <row r="14" spans="1:22" x14ac:dyDescent="0.3">
      <c r="T14" s="21"/>
      <c r="U14" s="22"/>
      <c r="V14" s="23"/>
    </row>
    <row r="15" spans="1:22" x14ac:dyDescent="0.3">
      <c r="T15" s="21"/>
      <c r="U15" s="22"/>
      <c r="V15" s="23"/>
    </row>
    <row r="16" spans="1:22" x14ac:dyDescent="0.3">
      <c r="T16" s="21"/>
      <c r="U16" s="22"/>
      <c r="V16" s="23"/>
    </row>
    <row r="17" spans="20:22" x14ac:dyDescent="0.3">
      <c r="T17" s="21"/>
      <c r="U17" s="22"/>
      <c r="V17" s="23"/>
    </row>
    <row r="18" spans="20:22" x14ac:dyDescent="0.3">
      <c r="T18" s="21"/>
      <c r="U18" s="22"/>
      <c r="V18" s="23"/>
    </row>
    <row r="19" spans="20:22" x14ac:dyDescent="0.3">
      <c r="T19" s="21"/>
      <c r="U19" s="22"/>
      <c r="V19" s="23"/>
    </row>
    <row r="20" spans="20:22" x14ac:dyDescent="0.3">
      <c r="T20" s="24"/>
      <c r="U20" s="25"/>
      <c r="V20"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688A-E597-45D1-B473-0BBCC8405F4C}">
  <dimension ref="A3:C31"/>
  <sheetViews>
    <sheetView workbookViewId="0">
      <selection activeCell="B15" sqref="B15"/>
    </sheetView>
  </sheetViews>
  <sheetFormatPr defaultRowHeight="14.4" x14ac:dyDescent="0.3"/>
  <cols>
    <col min="1" max="1" width="12.5546875" bestFit="1" customWidth="1"/>
    <col min="2" max="2" width="15.5546875" bestFit="1" customWidth="1"/>
    <col min="3" max="3" width="7" bestFit="1" customWidth="1"/>
    <col min="4" max="4" width="10.77734375" bestFit="1" customWidth="1"/>
  </cols>
  <sheetData>
    <row r="3" spans="1:3" x14ac:dyDescent="0.3">
      <c r="A3" s="12" t="s">
        <v>94</v>
      </c>
      <c r="B3" s="12" t="s">
        <v>92</v>
      </c>
    </row>
    <row r="4" spans="1:3" x14ac:dyDescent="0.3">
      <c r="A4" s="12" t="s">
        <v>89</v>
      </c>
      <c r="B4" t="s">
        <v>15</v>
      </c>
      <c r="C4" t="s">
        <v>16</v>
      </c>
    </row>
    <row r="5" spans="1:3" x14ac:dyDescent="0.3">
      <c r="A5" s="13" t="s">
        <v>47</v>
      </c>
      <c r="B5" s="15">
        <v>1</v>
      </c>
      <c r="C5" s="15">
        <v>0</v>
      </c>
    </row>
    <row r="6" spans="1:3" x14ac:dyDescent="0.3">
      <c r="A6" s="13" t="s">
        <v>43</v>
      </c>
      <c r="B6" s="15">
        <v>1</v>
      </c>
      <c r="C6" s="15">
        <v>0</v>
      </c>
    </row>
    <row r="7" spans="1:3" x14ac:dyDescent="0.3">
      <c r="A7" s="13" t="s">
        <v>32</v>
      </c>
      <c r="B7" s="15">
        <v>0.66666666666666663</v>
      </c>
      <c r="C7" s="15">
        <v>0.33333333333333331</v>
      </c>
    </row>
    <row r="8" spans="1:3" x14ac:dyDescent="0.3">
      <c r="A8" s="13" t="s">
        <v>14</v>
      </c>
      <c r="B8" s="15">
        <v>0.6428571428571429</v>
      </c>
      <c r="C8" s="15">
        <v>0.35714285714285715</v>
      </c>
    </row>
    <row r="9" spans="1:3" x14ac:dyDescent="0.3">
      <c r="A9" s="13" t="s">
        <v>27</v>
      </c>
      <c r="B9" s="15">
        <v>0.61702127659574468</v>
      </c>
      <c r="C9" s="15">
        <v>0.38297872340425532</v>
      </c>
    </row>
    <row r="10" spans="1:3" x14ac:dyDescent="0.3">
      <c r="A10" s="13" t="s">
        <v>90</v>
      </c>
      <c r="B10" s="15">
        <v>0.65306122448979587</v>
      </c>
      <c r="C10" s="15">
        <v>0.34693877551020408</v>
      </c>
    </row>
    <row r="14" spans="1:3" x14ac:dyDescent="0.3">
      <c r="A14" s="3"/>
      <c r="B14" s="4"/>
      <c r="C14" s="5"/>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6"/>
      <c r="B20" s="7"/>
      <c r="C20" s="8"/>
    </row>
    <row r="21" spans="1:3" x14ac:dyDescent="0.3">
      <c r="A21" s="6"/>
      <c r="B21" s="7"/>
      <c r="C21" s="8"/>
    </row>
    <row r="22" spans="1:3" x14ac:dyDescent="0.3">
      <c r="A22" s="6"/>
      <c r="B22" s="7"/>
      <c r="C22" s="8"/>
    </row>
    <row r="23" spans="1:3" x14ac:dyDescent="0.3">
      <c r="A23" s="6"/>
      <c r="B23" s="7"/>
      <c r="C23" s="8"/>
    </row>
    <row r="24" spans="1:3" x14ac:dyDescent="0.3">
      <c r="A24" s="6"/>
      <c r="B24" s="7"/>
      <c r="C24" s="8"/>
    </row>
    <row r="25" spans="1:3" x14ac:dyDescent="0.3">
      <c r="A25" s="6"/>
      <c r="B25" s="7"/>
      <c r="C25" s="8"/>
    </row>
    <row r="26" spans="1:3" x14ac:dyDescent="0.3">
      <c r="A26" s="6"/>
      <c r="B26" s="7"/>
      <c r="C26" s="8"/>
    </row>
    <row r="27" spans="1:3" x14ac:dyDescent="0.3">
      <c r="A27" s="6"/>
      <c r="B27" s="7"/>
      <c r="C27" s="8"/>
    </row>
    <row r="28" spans="1:3" x14ac:dyDescent="0.3">
      <c r="A28" s="6"/>
      <c r="B28" s="7"/>
      <c r="C28" s="8"/>
    </row>
    <row r="29" spans="1:3" x14ac:dyDescent="0.3">
      <c r="A29" s="6"/>
      <c r="B29" s="7"/>
      <c r="C29" s="8"/>
    </row>
    <row r="30" spans="1:3" x14ac:dyDescent="0.3">
      <c r="A30" s="6"/>
      <c r="B30" s="7"/>
      <c r="C30" s="8"/>
    </row>
    <row r="31" spans="1:3" x14ac:dyDescent="0.3">
      <c r="A31" s="9"/>
      <c r="B31" s="10"/>
      <c r="C31"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5D3B-8243-444E-9D22-AE7799C58837}">
  <dimension ref="A3:D7"/>
  <sheetViews>
    <sheetView workbookViewId="0">
      <selection activeCell="N9" sqref="N9"/>
    </sheetView>
  </sheetViews>
  <sheetFormatPr defaultRowHeight="14.4" x14ac:dyDescent="0.3"/>
  <cols>
    <col min="1" max="1" width="24.5546875" bestFit="1" customWidth="1"/>
    <col min="2" max="2" width="15.5546875" bestFit="1" customWidth="1"/>
    <col min="3" max="3" width="6" bestFit="1" customWidth="1"/>
    <col min="4" max="4" width="10.77734375" bestFit="1" customWidth="1"/>
  </cols>
  <sheetData>
    <row r="3" spans="1:4" x14ac:dyDescent="0.3">
      <c r="A3" s="12" t="s">
        <v>96</v>
      </c>
      <c r="B3" s="12" t="s">
        <v>92</v>
      </c>
    </row>
    <row r="4" spans="1:4" x14ac:dyDescent="0.3">
      <c r="A4" s="12" t="s">
        <v>89</v>
      </c>
      <c r="B4" t="s">
        <v>15</v>
      </c>
      <c r="C4" t="s">
        <v>16</v>
      </c>
      <c r="D4" t="s">
        <v>90</v>
      </c>
    </row>
    <row r="5" spans="1:4" x14ac:dyDescent="0.3">
      <c r="A5" s="13" t="s">
        <v>15</v>
      </c>
      <c r="B5" s="15">
        <v>1</v>
      </c>
      <c r="C5" s="15">
        <v>0</v>
      </c>
      <c r="D5" s="15">
        <v>1</v>
      </c>
    </row>
    <row r="6" spans="1:4" x14ac:dyDescent="0.3">
      <c r="A6" s="13" t="s">
        <v>16</v>
      </c>
      <c r="B6" s="15">
        <v>0.92063492063492058</v>
      </c>
      <c r="C6" s="15">
        <v>7.9365079365079361E-2</v>
      </c>
      <c r="D6" s="15">
        <v>1</v>
      </c>
    </row>
    <row r="7" spans="1:4" x14ac:dyDescent="0.3">
      <c r="A7" s="13" t="s">
        <v>90</v>
      </c>
      <c r="B7" s="15">
        <v>0.94897959183673475</v>
      </c>
      <c r="C7" s="15">
        <v>5.1020408163265307E-2</v>
      </c>
      <c r="D7" s="1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Insights</vt:lpstr>
      <vt:lpstr>Cleaning Log</vt:lpstr>
      <vt:lpstr>Clean Data</vt:lpstr>
      <vt:lpstr>Raw Data</vt:lpstr>
      <vt:lpstr>pivot1</vt:lpstr>
      <vt:lpstr>pivot2</vt:lpstr>
      <vt:lpstr>pivot3</vt:lpstr>
      <vt:lpstr>pivot4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Negi</dc:creator>
  <cp:lastModifiedBy>Himanshi Negi</cp:lastModifiedBy>
  <dcterms:created xsi:type="dcterms:W3CDTF">2026-10-02T05:13:39Z</dcterms:created>
  <dcterms:modified xsi:type="dcterms:W3CDTF">2026-10-02T16:27:31Z</dcterms:modified>
</cp:coreProperties>
</file>